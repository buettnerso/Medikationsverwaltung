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esktop\Studies\"/>
    </mc:Choice>
  </mc:AlternateContent>
  <xr:revisionPtr revIDLastSave="0" documentId="13_ncr:1_{8EC40132-DB48-4F7A-A1F3-938412C2FC96}" xr6:coauthVersionLast="47" xr6:coauthVersionMax="47" xr10:uidLastSave="{00000000-0000-0000-0000-000000000000}"/>
  <bookViews>
    <workbookView xWindow="-120" yWindow="-120" windowWidth="38640" windowHeight="21120" activeTab="6" xr2:uid="{73136EC0-69C1-480E-9CAC-A26B6E90F39E}"/>
  </bookViews>
  <sheets>
    <sheet name="Studienprofil" sheetId="6" r:id="rId1"/>
    <sheet name="Meldebestand" sheetId="1" r:id="rId2"/>
    <sheet name="Bestellübersicht IMP1" sheetId="5" r:id="rId3"/>
    <sheet name="Bestellübersicht IMP2" sheetId="10" r:id="rId4"/>
    <sheet name="DrugInventory IMP1" sheetId="2" r:id="rId5"/>
    <sheet name="DrugInventory IMP2" sheetId="7" r:id="rId6"/>
    <sheet name="PatientenVisiten" sheetId="3" r:id="rId7"/>
  </sheets>
  <definedNames>
    <definedName name="_xlnm._FilterDatabase" localSheetId="1" hidden="1">Meldebestand!$A$1:$H$1</definedName>
    <definedName name="_xlcn.WorksheetConnection_SEQUENCE_Bestellübersicht_01062026.xlsxTabelle3" hidden="1">Tabelle3[]</definedName>
    <definedName name="_xlcn.WorksheetConnection_SEQUENCE_Bestellübersicht_01062026.xlsxTabelle33" hidden="1">Tabelle33[]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e3" name="Tabelle3" connection="WorksheetConnection_SEQUENCE_Bestellübersicht_01062026.xlsx!Tabelle3"/>
          <x15:modelTable id="Tabelle33" name="Tabelle33" connection="WorksheetConnection_SEQUENCE_Bestellübersicht_01062026.xlsx!Tabelle3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C36" i="3"/>
  <c r="C35" i="3"/>
  <c r="C34" i="3"/>
  <c r="B2" i="1"/>
  <c r="B3" i="1"/>
  <c r="A3" i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A2" i="1"/>
  <c r="F3" i="1" l="1"/>
  <c r="G3" i="1"/>
  <c r="G2" i="1"/>
  <c r="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Büttner, Sophia</author>
  </authors>
  <commentList>
    <comment ref="F2" authorId="0" shapeId="0" xr:uid="{DA7E8A5A-3E79-4DFF-AA10-023462AFCB1D}">
      <text>
        <r>
          <rPr>
            <b/>
            <sz val="9"/>
            <color indexed="81"/>
            <rFont val="Segoe UI"/>
            <charset val="1"/>
          </rPr>
          <t>Büttner, Sophia:</t>
        </r>
        <r>
          <rPr>
            <sz val="9"/>
            <color indexed="81"/>
            <rFont val="Segoe UI"/>
            <charset val="1"/>
          </rPr>
          <t xml:space="preserve">
"Wie viele Einheiten bleiben oberhalb des Mindestbestands übrig, nachdem alle bis zur nächsten möglichen Lieferung erwarteten Verbräuche berücksichtigt wurden?"
Ergebnis &gt; 0 → Bestand reicht voraussichtlich aus.
Ergebnis = 0 → genau auf Mindestbestand.
Ergebnis &lt; 0 → Mindestbestand wird vor der Lieferung unterschritten.</t>
        </r>
      </text>
    </comment>
    <comment ref="F3" authorId="0" shapeId="0" xr:uid="{44622573-92C2-4AFC-A1F9-3D30F63A5E31}">
      <text>
        <r>
          <rPr>
            <b/>
            <sz val="9"/>
            <color indexed="81"/>
            <rFont val="Segoe UI"/>
            <charset val="1"/>
          </rPr>
          <t>Büttner, Sophia:</t>
        </r>
        <r>
          <rPr>
            <sz val="9"/>
            <color indexed="81"/>
            <rFont val="Segoe UI"/>
            <charset val="1"/>
          </rPr>
          <t xml:space="preserve">
"Wie viele Einheiten bleiben oberhalb des Mindestbestands übrig, nachdem alle bis zur nächsten möglichen Lieferung erwarteten Verbräuche berücksichtigt wurden?"
Ergebnis &gt; 0 → Bestand reicht voraussichtlich aus.
Ergebnis = 0 → genau auf Mindestbestand.
Ergebnis &lt; 0 → Mindestbestand wird vor der Lieferung unterschritten.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tc={9343CEA2-2545-4C24-B57C-6C908462D980}</author>
  </authors>
  <commentList>
    <comment ref="E1" authorId="0" shapeId="0" xr:uid="{9343CEA2-2545-4C24-B57C-6C908462D98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Gelbe Markierung kennzeichnet Datum in der Zukunft = bevorstehende Medikationsausgaben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E207F0-FB22-452D-B96F-305FEB7437CC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22FC9BA-1F20-414F-ACFB-F33608FA9248}" name="WorksheetConnection_SEQUENCE_Bestellübersicht_01062026.xlsx!Tabelle3" type="102" refreshedVersion="8" minRefreshableVersion="5">
    <extLst>
      <ext xmlns:x15="http://schemas.microsoft.com/office/spreadsheetml/2010/11/main" uri="{DE250136-89BD-433C-8126-D09CA5730AF9}">
        <x15:connection id="Tabelle3" autoDelete="1">
          <x15:rangePr sourceName="_xlcn.WorksheetConnection_SEQUENCE_Bestellübersicht_01062026.xlsxTabelle3"/>
        </x15:connection>
      </ext>
    </extLst>
  </connection>
  <connection id="3" xr16:uid="{84520EF6-8FB8-4BFC-8090-232412CBF0CD}" name="WorksheetConnection_SEQUENCE_Bestellübersicht_01062026.xlsx!Tabelle33" type="102" refreshedVersion="8" minRefreshableVersion="5">
    <extLst>
      <ext xmlns:x15="http://schemas.microsoft.com/office/spreadsheetml/2010/11/main" uri="{DE250136-89BD-433C-8126-D09CA5730AF9}">
        <x15:connection id="Tabelle33">
          <x15:rangePr sourceName="_xlcn.WorksheetConnection_SEQUENCE_Bestellübersicht_01062026.xlsxTabelle33"/>
        </x15:connection>
      </ext>
    </extLst>
  </connection>
</connections>
</file>

<file path=xl/sharedStrings.xml><?xml version="1.0" encoding="utf-8"?>
<sst xmlns="http://schemas.openxmlformats.org/spreadsheetml/2006/main" count="205" uniqueCount="108">
  <si>
    <t>Medikament</t>
  </si>
  <si>
    <t>Bestand</t>
  </si>
  <si>
    <t>Mindestbestand</t>
  </si>
  <si>
    <t>Lieferzeit (Tage)</t>
  </si>
  <si>
    <t>Meldebestand</t>
  </si>
  <si>
    <t>DeliveryDate</t>
  </si>
  <si>
    <t>Charge No.</t>
  </si>
  <si>
    <t>Expiry-Date</t>
  </si>
  <si>
    <t>DispensingDate</t>
  </si>
  <si>
    <t>Pat.ID</t>
  </si>
  <si>
    <t>Bestellsignal</t>
  </si>
  <si>
    <t>bestellt am</t>
  </si>
  <si>
    <t>#01</t>
  </si>
  <si>
    <t>#02</t>
  </si>
  <si>
    <t>Bestandsreserve über dem Meldebestand</t>
  </si>
  <si>
    <t>Comment</t>
  </si>
  <si>
    <t>#03</t>
  </si>
  <si>
    <t>#04</t>
  </si>
  <si>
    <t>Zyklus</t>
  </si>
  <si>
    <t>Tag</t>
  </si>
  <si>
    <t>23004.2</t>
  </si>
  <si>
    <t>Box-Nr.</t>
  </si>
  <si>
    <t>IMP</t>
  </si>
  <si>
    <t>Applikationsform</t>
  </si>
  <si>
    <t>Verbrauch pro Visite</t>
  </si>
  <si>
    <t>Inventarblatt</t>
  </si>
  <si>
    <t>Bestellverfahren</t>
  </si>
  <si>
    <t>Studienbezeichnung:</t>
  </si>
  <si>
    <t>EUCT-No.:</t>
  </si>
  <si>
    <t>IMPs</t>
  </si>
  <si>
    <t>IMP1</t>
  </si>
  <si>
    <t>IMP2</t>
  </si>
  <si>
    <t>IMP3</t>
  </si>
  <si>
    <t>IMP4</t>
  </si>
  <si>
    <t>IMP5</t>
  </si>
  <si>
    <t>IMP6</t>
  </si>
  <si>
    <t>IMP Bezeichnung</t>
  </si>
  <si>
    <t>Studienware/Handelsware</t>
  </si>
  <si>
    <t>Von STA Bestellpflichtig</t>
  </si>
  <si>
    <t>Zeit zwischen den Gaben</t>
  </si>
  <si>
    <t>Arbeitsblattbezeichnung</t>
  </si>
  <si>
    <t>Spaltenbezeichnung</t>
  </si>
  <si>
    <t>Spaltenbezeichnung für IMP</t>
  </si>
  <si>
    <t>Studienware</t>
  </si>
  <si>
    <t>Inventarwert für IMP</t>
  </si>
  <si>
    <t>Handelsware</t>
  </si>
  <si>
    <t>Ja</t>
  </si>
  <si>
    <t>Bestellübersicht</t>
  </si>
  <si>
    <t xml:space="preserve">Zurückgegeben am </t>
  </si>
  <si>
    <t>Anzahl übrig gebliebener Tabletten</t>
  </si>
  <si>
    <t>Vernichtung am</t>
  </si>
  <si>
    <t>01.02.2026</t>
  </si>
  <si>
    <t>10</t>
  </si>
  <si>
    <t>01.05.2026</t>
  </si>
  <si>
    <t>p.o. / Tablette</t>
  </si>
  <si>
    <t>Rezept via Apotheke</t>
  </si>
  <si>
    <t>Bestellformular via Sponsor</t>
  </si>
  <si>
    <t>0</t>
  </si>
  <si>
    <t>Bestell-ID</t>
  </si>
  <si>
    <t>Bestellt am</t>
  </si>
  <si>
    <t>01.02.2027</t>
  </si>
  <si>
    <t>01.02.2028</t>
  </si>
  <si>
    <t>01.02.2029</t>
  </si>
  <si>
    <t>01.02.2030</t>
  </si>
  <si>
    <t>01.02.2031</t>
  </si>
  <si>
    <t>01.02.2032</t>
  </si>
  <si>
    <t>1</t>
  </si>
  <si>
    <t>2</t>
  </si>
  <si>
    <t>01.05.2027</t>
  </si>
  <si>
    <t>01.05.2028</t>
  </si>
  <si>
    <t>01.05.2029</t>
  </si>
  <si>
    <t>01.05.2030</t>
  </si>
  <si>
    <t>01.05.2031</t>
  </si>
  <si>
    <t>01.05.2032</t>
  </si>
  <si>
    <t>3</t>
  </si>
  <si>
    <t>4</t>
  </si>
  <si>
    <t>5</t>
  </si>
  <si>
    <t>6</t>
  </si>
  <si>
    <t>7</t>
  </si>
  <si>
    <t>8</t>
  </si>
  <si>
    <t>9</t>
  </si>
  <si>
    <t>11</t>
  </si>
  <si>
    <t>Visiten-Bezeichnung</t>
  </si>
  <si>
    <t>Visiten-Zusatz</t>
  </si>
  <si>
    <t>Hier die Bezeichnung des Tabellenblattes eintragen, wenn ihr die Bezeichnung von DrugInventory IMP1 ändert</t>
  </si>
  <si>
    <t>Destruction Date</t>
  </si>
  <si>
    <t>C10 D1</t>
  </si>
  <si>
    <t>Erhalten am</t>
  </si>
  <si>
    <t>10017B</t>
  </si>
  <si>
    <t>ABX</t>
  </si>
  <si>
    <t>CDE</t>
  </si>
  <si>
    <t>18Hz</t>
  </si>
  <si>
    <t>A-123</t>
  </si>
  <si>
    <t>TestStudie 3</t>
  </si>
  <si>
    <t>2026-000000-00-03</t>
  </si>
  <si>
    <t>Medikation 1</t>
  </si>
  <si>
    <t>Medikation 2</t>
  </si>
  <si>
    <t>DrugInventory IMP1</t>
  </si>
  <si>
    <t>DrugInventory IMP2</t>
  </si>
  <si>
    <t>IMP1 Start</t>
  </si>
  <si>
    <t>IMP2 Start</t>
  </si>
  <si>
    <t>IMP1 + IMP2 Ende</t>
  </si>
  <si>
    <t>Testpatient01</t>
  </si>
  <si>
    <t>Testpatient02</t>
  </si>
  <si>
    <t>Testpatient03</t>
  </si>
  <si>
    <t>Testpatient04</t>
  </si>
  <si>
    <t>Namen der Prüfmedikation eintragen (bspw. VENETOCLAX, GILTERITINIB, POLATUZUMAB…)</t>
  </si>
  <si>
    <t>Applikationsform (bspw. Tabletten, Vials, Kapseln)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</si>
</sst>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Noto Sans"/>
      <family val="2"/>
    </font>
    <font>
      <b/>
      <sz val="10"/>
      <color theme="1"/>
      <name val="Noto Sans"/>
      <family val="2"/>
    </font>
    <font>
      <sz val="8"/>
      <name val="Noto Sans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9"/>
      <color theme="1"/>
      <name val="Noto Sans"/>
      <family val="2"/>
    </font>
    <font>
      <sz val="11"/>
      <name val="Carlito"/>
    </font>
    <font>
      <sz val="10"/>
      <color theme="1"/>
      <name val="Noto Sans"/>
      <family val="2"/>
    </font>
    <font>
      <sz val="11"/>
      <color theme="1"/>
      <name val="Noto Sans"/>
      <family val="2"/>
    </font>
    <font>
      <b/>
      <sz val="11"/>
      <name val="Noto Sans"/>
      <family val="2"/>
    </font>
    <font>
      <sz val="10"/>
      <color rgb="FF000000"/>
      <name val="Noto Sans"/>
      <family val="2"/>
    </font>
    <font>
      <i/>
      <sz val="11"/>
      <color rgb="FF7F7F7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0F7"/>
      </patternFill>
    </fill>
    <fill>
      <patternFill patternType="solid">
        <fgColor rgb="FFEAF0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11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6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9" fillId="3" borderId="4" xfId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3" borderId="6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0" fontId="9" fillId="2" borderId="4" xfId="1" applyFont="1" applyFill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1" fillId="0" borderId="0" xfId="2" applyAlignment="1">
      <alignment horizontal="left" vertical="center" inden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</cellXfs>
  <cellStyles count="3">
    <cellStyle name="Erklärender Text" xfId="2" builtinId="53"/>
    <cellStyle name="Normal" xfId="1" xr:uid="{3EB13654-7A7F-4380-9D75-6667CBAADBB6}"/>
    <cellStyle name="Standard" xfId="0" builtinId="0"/>
  </cellStyles>
  <dxfs count="54"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AF0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phia Büttner" id="{2D07AFBC-53CE-408D-B6EF-B43B6FEE074B}" userId="3e3b66f2e766da1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F1EA-7A05-450F-AD25-53E2037A8CD6}" name="Tabelle1" displayName="Tabelle1" ref="A1:D5" totalsRowShown="0" headerRowDxfId="53" dataDxfId="51" headerRowBorderDxfId="52" tableBorderDxfId="50">
  <autoFilter ref="A1:D5" xr:uid="{1107F1EA-7A05-450F-AD25-53E2037A8CD6}"/>
  <tableColumns count="4">
    <tableColumn id="1" xr3:uid="{AA6DCC5E-5018-4E5D-8DB2-96BE8E9FF207}" name="Bestell-ID" dataDxfId="49"/>
    <tableColumn id="2" xr3:uid="{F4CD8623-4BF6-4BC5-8C9D-430075CF5C5C}" name="Bestellt am" dataDxfId="48"/>
    <tableColumn id="3" xr3:uid="{FA118FB6-BA4F-496E-9C58-3141633079C2}" name="IMP1" dataDxfId="47"/>
    <tableColumn id="5" xr3:uid="{584DE359-CE1A-4DAA-AD74-87456A4B81A6}" name="Erhalten am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B566D5-98B0-4B75-B4DF-01D86B03B04E}" name="Tabelle16" displayName="Tabelle16" ref="A1:D2" totalsRowShown="0" headerRowDxfId="45" dataDxfId="43" headerRowBorderDxfId="44" tableBorderDxfId="42">
  <autoFilter ref="A1:D2" xr:uid="{1107F1EA-7A05-450F-AD25-53E2037A8CD6}"/>
  <tableColumns count="4">
    <tableColumn id="1" xr3:uid="{63D6991A-0CEF-46D4-B3AA-2B496C250A5B}" name="Bestell-ID" dataDxfId="41"/>
    <tableColumn id="2" xr3:uid="{F18E1A51-E60F-4235-A2BC-7EF776F991DF}" name="Bestellt am" dataDxfId="40"/>
    <tableColumn id="3" xr3:uid="{34D554C3-D776-4EAD-B4F9-86EC06BAA3CC}" name="IMP1" dataDxfId="39"/>
    <tableColumn id="5" xr3:uid="{DCD8B6DA-A753-4FF0-918A-2395CBA6CE2B}" name="Erhalten am" dataDxfId="3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F181A-721F-463D-B729-A637D07FC10B}" name="Tabelle3" displayName="Tabelle3" ref="A1:J26" totalsRowShown="0" headerRowDxfId="7" dataDxfId="37">
  <autoFilter ref="A1:J26" xr:uid="{6A0F181A-721F-463D-B729-A637D07FC10B}"/>
  <tableColumns count="10">
    <tableColumn id="1" xr3:uid="{8C26C653-DD18-471C-BC11-139E7CE656DE}" name="DeliveryDate" dataDxfId="36"/>
    <tableColumn id="2" xr3:uid="{F3036118-B1BE-464A-A4F6-BDA0CCEC4B42}" name="Charge No." dataDxfId="35"/>
    <tableColumn id="3" xr3:uid="{71B0633C-7C90-4A72-A590-512A60CEF014}" name="Box-Nr." dataDxfId="34"/>
    <tableColumn id="4" xr3:uid="{55CC5F98-6EF9-4422-ABB6-2CC2FFC91827}" name="Expiry-Date" dataDxfId="33"/>
    <tableColumn id="5" xr3:uid="{2B40A653-30B4-43CB-A393-3EFA5A58E3B6}" name="DispensingDate" dataDxfId="32"/>
    <tableColumn id="6" xr3:uid="{275FB517-E9BE-4035-A8C4-B773DED7B8C7}" name="Pat.ID" dataDxfId="31"/>
    <tableColumn id="9" xr3:uid="{F95F487D-98E3-421A-8439-26B99A29DDA8}" name="Zurückgegeben am " dataDxfId="30"/>
    <tableColumn id="10" xr3:uid="{07AA28FA-F84E-436F-9DC9-BC6707D39E61}" name="Anzahl übrig gebliebener Tabletten" dataDxfId="29"/>
    <tableColumn id="11" xr3:uid="{4CEFAD63-CF4A-46F3-8978-B0F9E0C447E5}" name="Destruction Date" dataDxfId="28"/>
    <tableColumn id="7" xr3:uid="{5450292F-2F00-47C6-89D7-10402FCE96EA}" name="Comment" dataDxfId="2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27F428-ED4B-4D41-90ED-260EEA5D17C9}" name="Tabelle33" displayName="Tabelle33" ref="A1:J5" totalsRowShown="0" headerRowDxfId="26" dataDxfId="25">
  <autoFilter ref="A1:J5" xr:uid="{6A0F181A-721F-463D-B729-A637D07FC10B}"/>
  <tableColumns count="10">
    <tableColumn id="1" xr3:uid="{D5BC832A-3069-486B-BC38-4B46FFC6BF2F}" name="DeliveryDate" dataDxfId="24"/>
    <tableColumn id="2" xr3:uid="{6D45798D-BB56-4A29-A632-664864AFD721}" name="Charge No." dataDxfId="23"/>
    <tableColumn id="3" xr3:uid="{FCC0A291-EACB-4D1B-AD32-7B0EDAB79C2E}" name="Box-Nr." dataDxfId="22"/>
    <tableColumn id="4" xr3:uid="{C14097B2-6136-4079-98F8-28DD00206329}" name="Expiry-Date" dataDxfId="21"/>
    <tableColumn id="5" xr3:uid="{3FDF0803-4246-4F5E-847F-80DE1F0E7434}" name="DispensingDate" dataDxfId="20"/>
    <tableColumn id="6" xr3:uid="{310815B2-3C69-43CC-8718-075741E99B3A}" name="Pat.ID" dataDxfId="19"/>
    <tableColumn id="9" xr3:uid="{F51B79CA-4B7D-435A-8938-661FF3BA4412}" name="Zurückgegeben am " dataDxfId="2"/>
    <tableColumn id="10" xr3:uid="{280683EF-F4D6-490B-A1E0-5BF40EABE586}" name="Anzahl übrig gebliebener Tabletten" dataDxfId="0"/>
    <tableColumn id="11" xr3:uid="{E7D7CFD8-55DA-460F-92D4-1E6251DAC775}" name="Vernichtung am" dataDxfId="1"/>
    <tableColumn id="7" xr3:uid="{6876D744-E6F6-4F07-82CC-59A18B401FB6}" name="Commen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C0A045-DA2B-48DC-80C5-AE3C65C480AB}" name="Tabelle4" displayName="Tabelle4" ref="A1:H38" totalsRowShown="0" headerRowDxfId="17" dataDxfId="16">
  <autoFilter ref="A1:H38" xr:uid="{E3C0A045-DA2B-48DC-80C5-AE3C65C480AB}"/>
  <tableColumns count="8">
    <tableColumn id="1" xr3:uid="{7B0B4DE2-FCBF-4D67-871E-5BDC6A7C7827}" name="Zyklus" dataDxfId="15"/>
    <tableColumn id="9" xr3:uid="{0EFEC709-C41E-447E-9815-3C570237B648}" name="Tag" dataDxfId="14"/>
    <tableColumn id="8" xr3:uid="{0DD9F04D-092D-45D3-8017-F80978C175FF}" name="Visiten-Bezeichnung" dataDxfId="13">
      <calculatedColumnFormula>"C"&amp;Tabelle4[[#This Row],[Zyklus]]&amp;" D"&amp;Tabelle4[[#This Row],[Tag]]</calculatedColumnFormula>
    </tableColumn>
    <tableColumn id="6" xr3:uid="{4FB1FE34-76F1-44A4-97B6-EB89F3EF0ECD}" name="Visiten-Zusatz" dataDxfId="12"/>
    <tableColumn id="3" xr3:uid="{6303A438-426A-4F4C-AA13-88C15026FB0A}" name="Testpatient01" dataDxfId="11"/>
    <tableColumn id="4" xr3:uid="{5C47C745-56D8-41C7-B443-23ECD26264AB}" name="Testpatient02" dataDxfId="10"/>
    <tableColumn id="5" xr3:uid="{FE8F7B35-97BD-4686-B3A6-58A45D506C4D}" name="Testpatient03" dataDxfId="9"/>
    <tableColumn id="2" xr3:uid="{C3F72E72-2309-438D-A5D7-B8C189D0E724}" name="Testpatient04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9-06T15:38:01.20" personId="{2D07AFBC-53CE-408D-B6EF-B43B6FEE074B}" id="{9343CEA2-2545-4C24-B57C-6C908462D980}">
    <text>Gelbe Markierung kennzeichnet Datum in der Zukunft = bevorstehende Medikationsausgaben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81C2-AB90-4BF3-9BF4-255BB2998061}">
  <dimension ref="A1:K19"/>
  <sheetViews>
    <sheetView zoomScale="110" zoomScaleNormal="110" workbookViewId="0">
      <selection activeCell="H18" sqref="H18"/>
    </sheetView>
  </sheetViews>
  <sheetFormatPr baseColWidth="10" defaultRowHeight="20.25" customHeight="1"/>
  <cols>
    <col min="1" max="1" width="34.85546875" style="31" customWidth="1"/>
    <col min="2" max="7" width="23.7109375" style="31" customWidth="1"/>
    <col min="8" max="8" width="96.5703125" style="53" customWidth="1"/>
    <col min="9" max="11" width="21.42578125" style="20" customWidth="1"/>
    <col min="12" max="16384" width="11.42578125" style="20"/>
  </cols>
  <sheetData>
    <row r="1" spans="1:11" ht="20.25" customHeight="1">
      <c r="A1" s="19" t="s">
        <v>27</v>
      </c>
      <c r="B1" s="49" t="s">
        <v>93</v>
      </c>
      <c r="C1" s="50"/>
      <c r="D1" s="4"/>
      <c r="E1" s="4"/>
      <c r="F1" s="4"/>
      <c r="G1" s="4"/>
    </row>
    <row r="2" spans="1:11" ht="20.25" customHeight="1">
      <c r="A2" s="21" t="s">
        <v>28</v>
      </c>
      <c r="B2" s="51" t="s">
        <v>94</v>
      </c>
      <c r="C2" s="52"/>
      <c r="D2" s="4"/>
      <c r="E2" s="4"/>
      <c r="F2" s="4"/>
      <c r="G2" s="4"/>
    </row>
    <row r="3" spans="1:11" ht="20.25" customHeight="1">
      <c r="A3" s="4"/>
      <c r="B3" s="4"/>
      <c r="C3" s="4"/>
      <c r="D3" s="4"/>
      <c r="E3" s="4"/>
      <c r="F3" s="4"/>
      <c r="G3" s="4"/>
    </row>
    <row r="4" spans="1:11" ht="20.25" customHeight="1">
      <c r="A4" s="22" t="s">
        <v>29</v>
      </c>
      <c r="B4" s="39" t="s">
        <v>30</v>
      </c>
      <c r="C4" s="23" t="s">
        <v>31</v>
      </c>
      <c r="D4" s="23" t="s">
        <v>32</v>
      </c>
      <c r="E4" s="23" t="s">
        <v>33</v>
      </c>
      <c r="F4" s="23" t="s">
        <v>34</v>
      </c>
      <c r="G4" s="24" t="s">
        <v>35</v>
      </c>
      <c r="I4" s="25"/>
      <c r="J4" s="25"/>
      <c r="K4" s="26"/>
    </row>
    <row r="5" spans="1:11" ht="20.25" customHeight="1">
      <c r="A5" s="27" t="s">
        <v>36</v>
      </c>
      <c r="B5" s="40" t="s">
        <v>95</v>
      </c>
      <c r="C5" s="4" t="s">
        <v>96</v>
      </c>
      <c r="D5" s="5"/>
      <c r="E5" s="4"/>
      <c r="F5" s="4"/>
      <c r="G5" s="8"/>
      <c r="H5" s="53" t="s">
        <v>106</v>
      </c>
      <c r="I5" s="25"/>
      <c r="J5" s="25"/>
      <c r="K5" s="26"/>
    </row>
    <row r="6" spans="1:11" ht="20.25" customHeight="1">
      <c r="A6" s="27" t="s">
        <v>23</v>
      </c>
      <c r="B6" s="40" t="s">
        <v>54</v>
      </c>
      <c r="C6" s="4" t="s">
        <v>54</v>
      </c>
      <c r="D6" s="5"/>
      <c r="E6" s="4"/>
      <c r="F6" s="4"/>
      <c r="G6" s="8"/>
      <c r="H6" s="53" t="s">
        <v>107</v>
      </c>
    </row>
    <row r="7" spans="1:11" ht="20.25" customHeight="1">
      <c r="A7" s="27" t="s">
        <v>37</v>
      </c>
      <c r="B7" s="40" t="s">
        <v>43</v>
      </c>
      <c r="C7" s="4" t="s">
        <v>45</v>
      </c>
      <c r="D7" s="5"/>
      <c r="E7" s="4"/>
      <c r="F7" s="4"/>
      <c r="G7" s="8"/>
    </row>
    <row r="8" spans="1:11" ht="20.25" customHeight="1">
      <c r="A8" s="27" t="s">
        <v>38</v>
      </c>
      <c r="B8" s="40" t="s">
        <v>46</v>
      </c>
      <c r="C8" s="4" t="s">
        <v>46</v>
      </c>
      <c r="D8" s="5"/>
      <c r="E8" s="4"/>
      <c r="F8" s="4"/>
      <c r="G8" s="8"/>
    </row>
    <row r="9" spans="1:11" ht="20.25" customHeight="1">
      <c r="A9" s="27" t="s">
        <v>2</v>
      </c>
      <c r="B9" s="40">
        <v>2</v>
      </c>
      <c r="C9" s="4">
        <v>2</v>
      </c>
      <c r="D9" s="20"/>
      <c r="E9" s="4"/>
      <c r="F9" s="4"/>
      <c r="G9" s="8"/>
    </row>
    <row r="10" spans="1:11" ht="20.25" customHeight="1">
      <c r="A10" s="27" t="s">
        <v>3</v>
      </c>
      <c r="B10" s="40">
        <v>5</v>
      </c>
      <c r="C10" s="4">
        <v>2</v>
      </c>
      <c r="D10" s="20"/>
      <c r="E10" s="4"/>
      <c r="F10" s="4"/>
      <c r="G10" s="8"/>
    </row>
    <row r="11" spans="1:11" ht="20.25" customHeight="1">
      <c r="A11" s="27" t="s">
        <v>24</v>
      </c>
      <c r="B11" s="40">
        <v>1</v>
      </c>
      <c r="C11" s="4">
        <v>1</v>
      </c>
      <c r="D11" s="20"/>
      <c r="E11" s="4"/>
      <c r="F11" s="4"/>
      <c r="G11" s="8"/>
    </row>
    <row r="12" spans="1:11" ht="20.25" customHeight="1">
      <c r="A12" s="28" t="s">
        <v>39</v>
      </c>
      <c r="B12" s="6">
        <v>28</v>
      </c>
      <c r="C12" s="9">
        <v>3</v>
      </c>
      <c r="D12" s="41"/>
      <c r="E12" s="9"/>
      <c r="F12" s="9"/>
      <c r="G12" s="7"/>
    </row>
    <row r="13" spans="1:11" ht="20.25" customHeight="1">
      <c r="A13" s="29"/>
      <c r="B13" s="4"/>
      <c r="C13" s="4"/>
      <c r="D13" s="20"/>
      <c r="E13" s="4"/>
      <c r="F13" s="4"/>
      <c r="G13" s="4"/>
    </row>
    <row r="14" spans="1:11" ht="20.25" customHeight="1">
      <c r="A14" s="30" t="s">
        <v>40</v>
      </c>
      <c r="B14" s="2" t="s">
        <v>47</v>
      </c>
      <c r="C14" s="10" t="s">
        <v>47</v>
      </c>
      <c r="D14" s="42"/>
      <c r="E14" s="10"/>
      <c r="F14" s="10"/>
      <c r="G14" s="3"/>
    </row>
    <row r="15" spans="1:11" ht="20.25" customHeight="1">
      <c r="A15" s="27" t="s">
        <v>41</v>
      </c>
      <c r="B15" s="40" t="s">
        <v>95</v>
      </c>
      <c r="C15" s="4" t="s">
        <v>96</v>
      </c>
      <c r="D15" s="20"/>
      <c r="E15" s="4"/>
      <c r="F15" s="4"/>
      <c r="G15" s="8"/>
    </row>
    <row r="16" spans="1:11" ht="20.25" customHeight="1">
      <c r="A16" s="27" t="s">
        <v>25</v>
      </c>
      <c r="B16" s="40" t="s">
        <v>97</v>
      </c>
      <c r="C16" s="4" t="s">
        <v>98</v>
      </c>
      <c r="D16" s="20"/>
      <c r="E16" s="4"/>
      <c r="F16" s="4"/>
      <c r="G16" s="8"/>
      <c r="H16" s="53" t="s">
        <v>84</v>
      </c>
    </row>
    <row r="17" spans="1:7" ht="20.25" customHeight="1">
      <c r="A17" s="27" t="s">
        <v>42</v>
      </c>
      <c r="B17" s="40" t="s">
        <v>22</v>
      </c>
      <c r="C17" s="4" t="s">
        <v>22</v>
      </c>
      <c r="D17" s="20"/>
      <c r="E17" s="4"/>
      <c r="F17" s="4"/>
      <c r="G17" s="8"/>
    </row>
    <row r="18" spans="1:7" ht="20.25" customHeight="1">
      <c r="A18" s="27" t="s">
        <v>44</v>
      </c>
      <c r="B18" s="40" t="s">
        <v>4</v>
      </c>
      <c r="C18" s="4" t="s">
        <v>4</v>
      </c>
      <c r="D18" s="20"/>
      <c r="E18" s="4"/>
      <c r="F18" s="4"/>
      <c r="G18" s="8"/>
    </row>
    <row r="19" spans="1:7" ht="41.25" customHeight="1">
      <c r="A19" s="28" t="s">
        <v>26</v>
      </c>
      <c r="B19" s="6" t="s">
        <v>56</v>
      </c>
      <c r="C19" s="9" t="s">
        <v>55</v>
      </c>
      <c r="D19" s="41"/>
      <c r="E19" s="9"/>
      <c r="F19" s="9"/>
      <c r="G19" s="7"/>
    </row>
  </sheetData>
  <mergeCells count="2">
    <mergeCell ref="B1:C1"/>
    <mergeCell ref="B2:C2"/>
  </mergeCells>
  <phoneticPr fontId="2" type="noConversion"/>
  <dataValidations count="2">
    <dataValidation type="list" sqref="E8:G8 B8:C8" xr:uid="{BCAF6C99-C5C6-47F8-BCF1-74D1433FD76D}">
      <formula1>"Ja,Nein"</formula1>
    </dataValidation>
    <dataValidation type="list" sqref="E7:G7 B7:C7" xr:uid="{1BB8F26A-7F4A-4849-A2A5-F68F27AB1A33}">
      <formula1>"Studienware,Handelsware"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C670-966E-42D6-AC3C-F24CBABA474C}">
  <dimension ref="A1:H22"/>
  <sheetViews>
    <sheetView zoomScale="106" zoomScaleNormal="106" workbookViewId="0">
      <selection activeCell="C5" sqref="C5"/>
    </sheetView>
  </sheetViews>
  <sheetFormatPr baseColWidth="10" defaultColWidth="18.140625" defaultRowHeight="15.75" customHeight="1"/>
  <cols>
    <col min="1" max="8" width="28.85546875" style="1" customWidth="1"/>
    <col min="9" max="16384" width="18.140625" style="1"/>
  </cols>
  <sheetData>
    <row r="1" spans="1:8" ht="46.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14</v>
      </c>
      <c r="G1" s="13" t="s">
        <v>10</v>
      </c>
      <c r="H1" s="11" t="s">
        <v>11</v>
      </c>
    </row>
    <row r="2" spans="1:8" ht="19.5" customHeight="1">
      <c r="A2" s="14" t="str">
        <f>Studienprofil!B5</f>
        <v>Medikation 1</v>
      </c>
      <c r="B2" s="14">
        <f>COUNTA(Tabelle3[[#All],[Box-Nr.]])-COUNTA(Tabelle3[[#All],[DispensingDate]])</f>
        <v>7</v>
      </c>
      <c r="C2" s="14">
        <v>2</v>
      </c>
      <c r="D2" s="14">
        <v>5</v>
      </c>
      <c r="E2" s="14">
        <v>4</v>
      </c>
      <c r="F2">
        <f ca="1">B2 - C2 - COUNTIFS(Tabelle4[[Testpatient01]:[Testpatient02]],"&gt;"&amp;TODAY(),Tabelle4[[Testpatient01]:[Testpatient02]],"&lt;"&amp;TODAY()+D2)</f>
        <v>1</v>
      </c>
      <c r="G2" s="1" t="str">
        <f>IF(Meldebestand!B2&lt;=(Meldebestand!C2),"BESTELLEN","OK")</f>
        <v>OK</v>
      </c>
      <c r="H2" s="15"/>
    </row>
    <row r="3" spans="1:8" ht="19.5" customHeight="1">
      <c r="A3" s="14" t="str">
        <f>Studienprofil!C5</f>
        <v>Medikation 2</v>
      </c>
      <c r="B3" s="14">
        <f>COUNTA(Tabelle33[[#All],[Box-Nr.]])-COUNTA(Tabelle33[[#All],[DispensingDate]])</f>
        <v>0</v>
      </c>
      <c r="C3" s="14">
        <v>2</v>
      </c>
      <c r="D3" s="14">
        <v>5</v>
      </c>
      <c r="E3" s="14">
        <v>4</v>
      </c>
      <c r="F3">
        <f ca="1">B3 - C3 - COUNTIFS(Tabelle4[[Testpatient01]:[Testpatient02]],"&gt;"&amp;TODAY(),Tabelle4[[Testpatient01]:[Testpatient02]],"&lt;"&amp;TODAY()+D3)</f>
        <v>-6</v>
      </c>
      <c r="G3" s="1" t="str">
        <f>IF(Meldebestand!B3&lt;=(Meldebestand!C3),"BESTELLEN","OK")</f>
        <v>BESTELLEN</v>
      </c>
      <c r="H3" s="15"/>
    </row>
    <row r="4" spans="1:8" ht="15.75" customHeight="1">
      <c r="A4" s="14"/>
      <c r="B4" s="14"/>
      <c r="C4" s="14"/>
      <c r="D4" s="14"/>
      <c r="E4" s="14"/>
      <c r="F4"/>
      <c r="H4" s="15"/>
    </row>
    <row r="5" spans="1:8" ht="15.75" customHeight="1">
      <c r="A5" s="14"/>
      <c r="B5" s="14"/>
      <c r="C5" s="14"/>
      <c r="D5" s="14"/>
      <c r="E5" s="14"/>
      <c r="F5"/>
      <c r="H5" s="15"/>
    </row>
    <row r="6" spans="1:8" ht="15.75" customHeight="1">
      <c r="A6" s="14"/>
      <c r="B6" s="14"/>
      <c r="C6" s="14"/>
      <c r="D6" s="14"/>
      <c r="E6" s="14"/>
      <c r="F6"/>
      <c r="H6" s="15"/>
    </row>
    <row r="19" spans="4:4" ht="15.75" customHeight="1">
      <c r="D19"/>
    </row>
    <row r="20" spans="4:4" ht="15.75" customHeight="1">
      <c r="D20"/>
    </row>
    <row r="21" spans="4:4" ht="15.75" customHeight="1">
      <c r="D21"/>
    </row>
    <row r="22" spans="4:4" ht="15.75" customHeight="1">
      <c r="D22"/>
    </row>
  </sheetData>
  <autoFilter ref="A1:H1" xr:uid="{388AC670-966E-42D6-AC3C-F24CBABA474C}"/>
  <conditionalFormatting sqref="G2:G6">
    <cfRule type="containsText" dxfId="6" priority="2" operator="containsText" text="BESTELLEN">
      <formula>NOT(ISERROR(SEARCH("BESTELLEN",G2)))</formula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5C9C-04E3-45C2-83C7-7D45ED490E83}">
  <dimension ref="A1:D10"/>
  <sheetViews>
    <sheetView workbookViewId="0">
      <selection activeCell="C4" sqref="C4"/>
    </sheetView>
  </sheetViews>
  <sheetFormatPr baseColWidth="10" defaultColWidth="22" defaultRowHeight="22.5" customHeight="1"/>
  <cols>
    <col min="1" max="1" width="22" style="16"/>
    <col min="2" max="2" width="22" style="17"/>
    <col min="3" max="3" width="22" style="5"/>
    <col min="4" max="4" width="22" style="18"/>
    <col min="5" max="16384" width="22" style="5"/>
  </cols>
  <sheetData>
    <row r="1" spans="1:4" ht="22.5" customHeight="1">
      <c r="A1" s="32" t="s">
        <v>58</v>
      </c>
      <c r="B1" s="33" t="s">
        <v>59</v>
      </c>
      <c r="C1" s="34" t="s">
        <v>30</v>
      </c>
      <c r="D1" s="35" t="s">
        <v>87</v>
      </c>
    </row>
    <row r="2" spans="1:4" ht="22.5" customHeight="1">
      <c r="A2" s="16" t="s">
        <v>12</v>
      </c>
      <c r="B2" s="18">
        <v>45658</v>
      </c>
      <c r="C2" s="16">
        <v>6</v>
      </c>
      <c r="D2" s="18">
        <v>45663</v>
      </c>
    </row>
    <row r="3" spans="1:4" ht="22.5" customHeight="1">
      <c r="A3" s="16" t="s">
        <v>13</v>
      </c>
      <c r="B3" s="18">
        <v>46003</v>
      </c>
      <c r="C3" s="16">
        <v>8</v>
      </c>
      <c r="D3" s="18">
        <v>46008</v>
      </c>
    </row>
    <row r="4" spans="1:4" ht="22.5" customHeight="1">
      <c r="A4" s="16" t="s">
        <v>16</v>
      </c>
      <c r="B4" s="18">
        <v>46111</v>
      </c>
      <c r="C4" s="16">
        <v>4</v>
      </c>
      <c r="D4" s="18">
        <v>46116</v>
      </c>
    </row>
    <row r="5" spans="1:4" ht="22.5" customHeight="1">
      <c r="A5" s="16" t="s">
        <v>17</v>
      </c>
      <c r="B5" s="18">
        <v>46224</v>
      </c>
      <c r="C5" s="16">
        <v>4</v>
      </c>
      <c r="D5" s="18">
        <v>46229</v>
      </c>
    </row>
    <row r="6" spans="1:4" ht="22.5" customHeight="1">
      <c r="B6" s="18"/>
      <c r="C6" s="16"/>
    </row>
    <row r="7" spans="1:4" ht="22.5" customHeight="1">
      <c r="B7" s="18"/>
      <c r="C7" s="16"/>
    </row>
    <row r="8" spans="1:4" ht="22.5" customHeight="1">
      <c r="B8" s="18"/>
      <c r="C8" s="16"/>
    </row>
    <row r="9" spans="1:4" ht="22.5" customHeight="1">
      <c r="B9" s="18"/>
      <c r="C9" s="16"/>
    </row>
    <row r="10" spans="1:4" ht="22.5" customHeight="1">
      <c r="B10" s="18"/>
      <c r="C10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83FC-0170-494F-ACFE-EACF3DBA3B2D}">
  <dimension ref="A1:D2"/>
  <sheetViews>
    <sheetView workbookViewId="0">
      <selection activeCell="B10" sqref="B10"/>
    </sheetView>
  </sheetViews>
  <sheetFormatPr baseColWidth="10" defaultColWidth="22" defaultRowHeight="22.5" customHeight="1"/>
  <cols>
    <col min="1" max="1" width="22" style="16"/>
    <col min="2" max="2" width="22" style="17"/>
    <col min="3" max="3" width="22" style="5"/>
    <col min="4" max="4" width="22" style="18"/>
    <col min="5" max="16384" width="22" style="5"/>
  </cols>
  <sheetData>
    <row r="1" spans="1:4" ht="22.5" customHeight="1">
      <c r="A1" s="32" t="s">
        <v>58</v>
      </c>
      <c r="B1" s="33" t="s">
        <v>59</v>
      </c>
      <c r="C1" s="34" t="s">
        <v>30</v>
      </c>
      <c r="D1" s="35" t="s">
        <v>87</v>
      </c>
    </row>
    <row r="2" spans="1:4" ht="22.5" customHeight="1">
      <c r="A2" s="16" t="s">
        <v>17</v>
      </c>
      <c r="B2" s="18">
        <v>46224</v>
      </c>
      <c r="C2" s="16">
        <v>4</v>
      </c>
      <c r="D2" s="18">
        <v>46229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FB24-B52C-4896-88E0-11FF71CB5A84}">
  <dimension ref="A1:J36"/>
  <sheetViews>
    <sheetView workbookViewId="0">
      <selection activeCell="A19" sqref="A16:A19"/>
    </sheetView>
  </sheetViews>
  <sheetFormatPr baseColWidth="10" defaultColWidth="18.140625" defaultRowHeight="19.5" customHeight="1"/>
  <cols>
    <col min="1" max="1" width="18.140625" style="17" customWidth="1"/>
    <col min="2" max="3" width="18.140625" style="5"/>
    <col min="4" max="4" width="18.140625" style="17"/>
    <col min="5" max="5" width="18.140625" style="5"/>
    <col min="6" max="6" width="24.85546875" style="38" customWidth="1"/>
    <col min="7" max="7" width="24.85546875" style="17" customWidth="1"/>
    <col min="8" max="8" width="24.85546875" style="44" customWidth="1"/>
    <col min="9" max="9" width="24.85546875" style="17" customWidth="1"/>
    <col min="10" max="10" width="68.42578125" style="37" customWidth="1"/>
    <col min="11" max="16384" width="18.140625" style="5"/>
  </cols>
  <sheetData>
    <row r="1" spans="1:10" s="48" customFormat="1" ht="37.5" customHeight="1">
      <c r="A1" s="54" t="s">
        <v>5</v>
      </c>
      <c r="B1" s="48" t="s">
        <v>6</v>
      </c>
      <c r="C1" s="48" t="s">
        <v>21</v>
      </c>
      <c r="D1" s="54" t="s">
        <v>7</v>
      </c>
      <c r="E1" s="48" t="s">
        <v>8</v>
      </c>
      <c r="F1" s="55" t="s">
        <v>9</v>
      </c>
      <c r="G1" s="54" t="s">
        <v>48</v>
      </c>
      <c r="H1" s="56" t="s">
        <v>49</v>
      </c>
      <c r="I1" s="54" t="s">
        <v>85</v>
      </c>
      <c r="J1" s="57" t="s">
        <v>15</v>
      </c>
    </row>
    <row r="2" spans="1:10" ht="19.5" customHeight="1">
      <c r="A2" s="18">
        <v>45663</v>
      </c>
      <c r="B2" s="16" t="s">
        <v>20</v>
      </c>
      <c r="C2" s="16">
        <v>100020</v>
      </c>
      <c r="D2" s="18">
        <v>46388</v>
      </c>
      <c r="E2" s="18">
        <v>46023</v>
      </c>
      <c r="F2" s="36" t="s">
        <v>102</v>
      </c>
      <c r="G2" s="18" t="s">
        <v>51</v>
      </c>
      <c r="H2" s="43" t="s">
        <v>52</v>
      </c>
      <c r="I2" s="18" t="s">
        <v>53</v>
      </c>
    </row>
    <row r="3" spans="1:10" ht="19.5" customHeight="1">
      <c r="A3" s="18">
        <v>45663</v>
      </c>
      <c r="B3" s="16" t="s">
        <v>20</v>
      </c>
      <c r="C3" s="16">
        <v>100021</v>
      </c>
      <c r="D3" s="18">
        <v>46388</v>
      </c>
      <c r="E3" s="18">
        <v>46073</v>
      </c>
      <c r="F3" s="36" t="s">
        <v>102</v>
      </c>
      <c r="G3" s="18" t="s">
        <v>60</v>
      </c>
      <c r="H3" s="43" t="s">
        <v>57</v>
      </c>
      <c r="I3" s="18" t="s">
        <v>68</v>
      </c>
    </row>
    <row r="4" spans="1:10" ht="19.5" customHeight="1">
      <c r="A4" s="18">
        <v>45663</v>
      </c>
      <c r="B4" s="16" t="s">
        <v>20</v>
      </c>
      <c r="C4" s="16">
        <v>100022</v>
      </c>
      <c r="D4" s="18">
        <v>46388</v>
      </c>
      <c r="E4" s="18">
        <v>46073</v>
      </c>
      <c r="F4" s="36" t="s">
        <v>103</v>
      </c>
      <c r="G4" s="18" t="s">
        <v>61</v>
      </c>
      <c r="H4" s="43" t="s">
        <v>57</v>
      </c>
      <c r="I4" s="18" t="s">
        <v>69</v>
      </c>
    </row>
    <row r="5" spans="1:10" ht="19.5" customHeight="1">
      <c r="A5" s="18">
        <v>45663</v>
      </c>
      <c r="B5" s="16" t="s">
        <v>20</v>
      </c>
      <c r="C5" s="16">
        <v>100023</v>
      </c>
      <c r="D5" s="18">
        <v>46388</v>
      </c>
      <c r="E5" s="18">
        <v>46122</v>
      </c>
      <c r="F5" s="36" t="s">
        <v>103</v>
      </c>
      <c r="G5" s="18" t="s">
        <v>62</v>
      </c>
      <c r="H5" s="43" t="s">
        <v>57</v>
      </c>
      <c r="I5" s="18" t="s">
        <v>70</v>
      </c>
    </row>
    <row r="6" spans="1:10" ht="19.5" customHeight="1">
      <c r="A6" s="18">
        <v>45663</v>
      </c>
      <c r="B6" s="16" t="s">
        <v>20</v>
      </c>
      <c r="C6" s="16">
        <v>100024</v>
      </c>
      <c r="D6" s="18">
        <v>46388</v>
      </c>
      <c r="E6" s="18">
        <v>46123</v>
      </c>
      <c r="F6" s="36" t="s">
        <v>102</v>
      </c>
      <c r="G6" s="18" t="s">
        <v>63</v>
      </c>
      <c r="H6" s="43" t="s">
        <v>57</v>
      </c>
      <c r="I6" s="18" t="s">
        <v>71</v>
      </c>
    </row>
    <row r="7" spans="1:10" ht="19.5" customHeight="1">
      <c r="A7" s="18">
        <v>45663</v>
      </c>
      <c r="B7" s="16" t="s">
        <v>20</v>
      </c>
      <c r="C7" s="16">
        <v>100025</v>
      </c>
      <c r="D7" s="18">
        <v>46388</v>
      </c>
      <c r="E7" s="18">
        <v>46173</v>
      </c>
      <c r="F7" s="36" t="s">
        <v>103</v>
      </c>
      <c r="G7" s="18" t="s">
        <v>64</v>
      </c>
      <c r="H7" s="43" t="s">
        <v>57</v>
      </c>
      <c r="I7" s="18" t="s">
        <v>72</v>
      </c>
    </row>
    <row r="8" spans="1:10" ht="19.5" customHeight="1">
      <c r="A8" s="18">
        <v>46373</v>
      </c>
      <c r="B8" s="16">
        <v>230010</v>
      </c>
      <c r="C8" s="16">
        <v>100078</v>
      </c>
      <c r="D8" s="18">
        <v>46388</v>
      </c>
      <c r="E8" s="18">
        <v>46173</v>
      </c>
      <c r="F8" s="36" t="s">
        <v>102</v>
      </c>
      <c r="G8" s="18" t="s">
        <v>65</v>
      </c>
      <c r="H8" s="43" t="s">
        <v>57</v>
      </c>
      <c r="I8" s="18" t="s">
        <v>73</v>
      </c>
    </row>
    <row r="9" spans="1:10" ht="19.5" customHeight="1">
      <c r="A9" s="18">
        <v>46373</v>
      </c>
      <c r="B9" s="16">
        <v>230010</v>
      </c>
      <c r="C9" s="16">
        <v>100079</v>
      </c>
      <c r="D9" s="18">
        <v>46388</v>
      </c>
      <c r="E9" s="18">
        <v>46166</v>
      </c>
      <c r="F9" s="36" t="s">
        <v>104</v>
      </c>
      <c r="G9" s="18">
        <v>46152</v>
      </c>
      <c r="H9" s="43" t="s">
        <v>66</v>
      </c>
      <c r="I9" s="18" t="s">
        <v>73</v>
      </c>
    </row>
    <row r="10" spans="1:10" ht="19.5" customHeight="1">
      <c r="A10" s="18">
        <v>46373</v>
      </c>
      <c r="B10" s="16">
        <v>230010</v>
      </c>
      <c r="C10" s="16">
        <v>100080</v>
      </c>
      <c r="D10" s="18">
        <v>46388</v>
      </c>
      <c r="E10" s="18">
        <v>46223</v>
      </c>
      <c r="F10" s="36" t="s">
        <v>103</v>
      </c>
      <c r="G10" s="18">
        <v>46152</v>
      </c>
      <c r="H10" s="43" t="s">
        <v>67</v>
      </c>
      <c r="I10" s="18" t="s">
        <v>73</v>
      </c>
    </row>
    <row r="11" spans="1:10" ht="19.5" customHeight="1">
      <c r="A11" s="18">
        <v>46373</v>
      </c>
      <c r="B11" s="16">
        <v>230010</v>
      </c>
      <c r="C11" s="16">
        <v>100081</v>
      </c>
      <c r="D11" s="18">
        <v>46388</v>
      </c>
      <c r="E11" s="18">
        <v>46216</v>
      </c>
      <c r="F11" s="36" t="s">
        <v>104</v>
      </c>
      <c r="G11" s="18">
        <v>46152</v>
      </c>
      <c r="H11" s="43" t="s">
        <v>74</v>
      </c>
      <c r="I11" s="18" t="s">
        <v>73</v>
      </c>
    </row>
    <row r="12" spans="1:10" ht="19.5" customHeight="1">
      <c r="A12" s="18">
        <v>46373</v>
      </c>
      <c r="B12" s="16">
        <v>230010</v>
      </c>
      <c r="C12" s="16">
        <v>100082</v>
      </c>
      <c r="D12" s="18">
        <v>46388</v>
      </c>
      <c r="E12" s="18">
        <v>46223</v>
      </c>
      <c r="F12" s="36" t="s">
        <v>102</v>
      </c>
      <c r="G12" s="18">
        <v>46152</v>
      </c>
      <c r="H12" s="43" t="s">
        <v>75</v>
      </c>
      <c r="I12" s="18" t="s">
        <v>73</v>
      </c>
    </row>
    <row r="13" spans="1:10" ht="19.5" customHeight="1">
      <c r="A13" s="18">
        <v>46373</v>
      </c>
      <c r="B13" s="16">
        <v>230010</v>
      </c>
      <c r="C13" s="16">
        <v>100083</v>
      </c>
      <c r="D13" s="18">
        <v>46388</v>
      </c>
      <c r="E13" s="18">
        <v>46273</v>
      </c>
      <c r="F13" s="36" t="s">
        <v>102</v>
      </c>
      <c r="G13" s="18">
        <v>46152</v>
      </c>
      <c r="H13" s="43" t="s">
        <v>76</v>
      </c>
      <c r="I13" s="18" t="s">
        <v>73</v>
      </c>
    </row>
    <row r="14" spans="1:10" ht="19.5" customHeight="1">
      <c r="A14" s="18">
        <v>46373</v>
      </c>
      <c r="B14" s="16">
        <v>230010</v>
      </c>
      <c r="C14" s="16">
        <v>100084</v>
      </c>
      <c r="D14" s="18">
        <v>46388</v>
      </c>
      <c r="E14" s="18">
        <v>46273</v>
      </c>
      <c r="F14" s="36" t="s">
        <v>103</v>
      </c>
      <c r="G14" s="18">
        <v>46152</v>
      </c>
      <c r="H14" s="43" t="s">
        <v>77</v>
      </c>
      <c r="I14" s="18" t="s">
        <v>73</v>
      </c>
    </row>
    <row r="15" spans="1:10" ht="19.5" customHeight="1">
      <c r="A15" s="18">
        <v>46373</v>
      </c>
      <c r="B15" s="16">
        <v>230010</v>
      </c>
      <c r="C15" s="16">
        <v>100085</v>
      </c>
      <c r="D15" s="18">
        <v>46388</v>
      </c>
      <c r="E15" s="18">
        <v>46266</v>
      </c>
      <c r="F15" s="36" t="s">
        <v>104</v>
      </c>
      <c r="G15" s="18">
        <v>46152</v>
      </c>
      <c r="H15" s="43" t="s">
        <v>78</v>
      </c>
      <c r="I15" s="18" t="s">
        <v>73</v>
      </c>
    </row>
    <row r="16" spans="1:10" ht="19.5" customHeight="1">
      <c r="A16" s="18">
        <v>46116</v>
      </c>
      <c r="B16" s="16">
        <v>230010</v>
      </c>
      <c r="C16" s="16">
        <v>100091</v>
      </c>
      <c r="D16" s="18">
        <v>46753</v>
      </c>
      <c r="E16" s="18">
        <v>46323</v>
      </c>
      <c r="F16" s="36" t="s">
        <v>103</v>
      </c>
      <c r="G16" s="18">
        <v>46152</v>
      </c>
      <c r="H16" s="43" t="s">
        <v>79</v>
      </c>
      <c r="I16" s="18" t="s">
        <v>73</v>
      </c>
    </row>
    <row r="17" spans="1:9" ht="19.5" customHeight="1">
      <c r="A17" s="18">
        <v>46116</v>
      </c>
      <c r="B17" s="16">
        <v>230010</v>
      </c>
      <c r="C17" s="16">
        <v>100092</v>
      </c>
      <c r="D17" s="18">
        <v>46753</v>
      </c>
      <c r="E17" s="18">
        <v>46373</v>
      </c>
      <c r="F17" s="36" t="s">
        <v>103</v>
      </c>
      <c r="G17" s="18">
        <v>46152</v>
      </c>
      <c r="H17" s="43" t="s">
        <v>80</v>
      </c>
      <c r="I17" s="18" t="s">
        <v>73</v>
      </c>
    </row>
    <row r="18" spans="1:9" ht="19.5" customHeight="1">
      <c r="A18" s="18">
        <v>46116</v>
      </c>
      <c r="B18" s="16">
        <v>230010</v>
      </c>
      <c r="C18" s="16">
        <v>100093</v>
      </c>
      <c r="D18" s="18">
        <v>46753</v>
      </c>
      <c r="E18" s="18">
        <v>46316</v>
      </c>
      <c r="F18" s="36" t="s">
        <v>104</v>
      </c>
      <c r="G18" s="18">
        <v>46152</v>
      </c>
      <c r="H18" s="43" t="s">
        <v>52</v>
      </c>
      <c r="I18" s="18" t="s">
        <v>73</v>
      </c>
    </row>
    <row r="19" spans="1:9" ht="19.5" customHeight="1">
      <c r="A19" s="18">
        <v>46116</v>
      </c>
      <c r="B19" s="16">
        <v>230010</v>
      </c>
      <c r="C19" s="16">
        <v>100094</v>
      </c>
      <c r="D19" s="18">
        <v>46753</v>
      </c>
      <c r="E19" s="18">
        <v>46323</v>
      </c>
      <c r="F19" s="36" t="s">
        <v>102</v>
      </c>
      <c r="G19" s="18">
        <v>46152</v>
      </c>
      <c r="H19" s="43" t="s">
        <v>81</v>
      </c>
      <c r="I19" s="18"/>
    </row>
    <row r="20" spans="1:9" ht="19.5" customHeight="1">
      <c r="A20" s="18">
        <v>46271</v>
      </c>
      <c r="B20" s="16" t="s">
        <v>88</v>
      </c>
      <c r="C20" s="16" t="s">
        <v>89</v>
      </c>
      <c r="D20" s="18">
        <v>2</v>
      </c>
      <c r="E20" s="18"/>
      <c r="F20" s="36"/>
      <c r="G20" s="18"/>
      <c r="H20" s="43"/>
      <c r="I20" s="18"/>
    </row>
    <row r="21" spans="1:9" ht="19.5" customHeight="1">
      <c r="A21" s="18">
        <v>46271</v>
      </c>
      <c r="B21" s="16" t="s">
        <v>88</v>
      </c>
      <c r="C21" s="16" t="s">
        <v>90</v>
      </c>
      <c r="D21" s="18">
        <v>2</v>
      </c>
      <c r="E21" s="18"/>
      <c r="F21" s="36"/>
      <c r="G21" s="18"/>
      <c r="H21" s="43"/>
      <c r="I21" s="18"/>
    </row>
    <row r="22" spans="1:9" ht="19.5" customHeight="1">
      <c r="A22" s="18">
        <v>46271</v>
      </c>
      <c r="B22" s="16" t="s">
        <v>88</v>
      </c>
      <c r="C22" s="16" t="s">
        <v>91</v>
      </c>
      <c r="D22" s="18">
        <v>2</v>
      </c>
      <c r="E22" s="18"/>
      <c r="F22" s="36"/>
      <c r="G22" s="18"/>
      <c r="H22" s="43"/>
      <c r="I22" s="18"/>
    </row>
    <row r="23" spans="1:9" ht="19.5" customHeight="1">
      <c r="A23" s="18">
        <v>46271</v>
      </c>
      <c r="B23" s="16">
        <v>470025</v>
      </c>
      <c r="C23" s="16" t="s">
        <v>92</v>
      </c>
      <c r="D23" s="18">
        <v>46413</v>
      </c>
      <c r="E23" s="18"/>
      <c r="F23" s="36"/>
      <c r="G23" s="18"/>
      <c r="H23" s="43"/>
      <c r="I23" s="18"/>
    </row>
    <row r="24" spans="1:9" ht="19.5" customHeight="1">
      <c r="A24" s="18">
        <v>46271</v>
      </c>
      <c r="B24" s="16">
        <v>470025</v>
      </c>
      <c r="C24" s="16" t="s">
        <v>92</v>
      </c>
      <c r="D24" s="18">
        <v>46413</v>
      </c>
      <c r="E24" s="18"/>
      <c r="F24" s="36"/>
      <c r="G24" s="18"/>
      <c r="H24" s="43"/>
      <c r="I24" s="18"/>
    </row>
    <row r="25" spans="1:9" ht="19.5" customHeight="1">
      <c r="A25" s="18">
        <v>46271</v>
      </c>
      <c r="B25" s="16">
        <v>470025</v>
      </c>
      <c r="C25" s="16" t="s">
        <v>92</v>
      </c>
      <c r="D25" s="18">
        <v>46413</v>
      </c>
      <c r="E25" s="18"/>
      <c r="F25" s="36"/>
      <c r="G25" s="18"/>
      <c r="H25" s="43"/>
      <c r="I25" s="18"/>
    </row>
    <row r="26" spans="1:9" ht="19.5" customHeight="1">
      <c r="A26" s="18">
        <v>46271</v>
      </c>
      <c r="B26" s="16">
        <v>46578</v>
      </c>
      <c r="C26" s="16">
        <v>145</v>
      </c>
      <c r="D26" s="18">
        <v>46753</v>
      </c>
      <c r="E26" s="16"/>
      <c r="F26" s="36"/>
      <c r="G26" s="18"/>
      <c r="H26" s="43"/>
      <c r="I26" s="18"/>
    </row>
    <row r="27" spans="1:9" ht="19.5" customHeight="1">
      <c r="A27" s="18"/>
      <c r="B27" s="16"/>
      <c r="C27" s="16"/>
      <c r="D27" s="18"/>
      <c r="E27" s="16"/>
      <c r="F27" s="36"/>
      <c r="G27" s="18"/>
      <c r="H27" s="43"/>
      <c r="I27" s="18"/>
    </row>
    <row r="28" spans="1:9" ht="19.5" customHeight="1">
      <c r="A28" s="18"/>
      <c r="B28" s="16"/>
      <c r="C28" s="16"/>
      <c r="D28" s="18"/>
      <c r="E28" s="16"/>
      <c r="F28" s="36"/>
      <c r="G28" s="18"/>
      <c r="H28" s="43"/>
      <c r="I28" s="18"/>
    </row>
    <row r="29" spans="1:9" ht="19.5" customHeight="1">
      <c r="A29" s="18"/>
      <c r="B29" s="16"/>
      <c r="C29" s="16"/>
      <c r="D29" s="18"/>
      <c r="E29" s="16"/>
      <c r="F29" s="36"/>
      <c r="G29" s="18"/>
      <c r="H29" s="43"/>
      <c r="I29" s="18"/>
    </row>
    <row r="30" spans="1:9" ht="19.5" customHeight="1">
      <c r="A30" s="18"/>
      <c r="B30" s="16"/>
      <c r="C30" s="16"/>
      <c r="D30" s="18"/>
      <c r="E30" s="16"/>
      <c r="F30" s="36"/>
      <c r="G30" s="18"/>
      <c r="H30" s="43"/>
      <c r="I30" s="18"/>
    </row>
    <row r="31" spans="1:9" ht="19.5" customHeight="1">
      <c r="A31" s="18"/>
      <c r="B31" s="16"/>
      <c r="C31" s="16"/>
      <c r="D31" s="18"/>
      <c r="E31" s="16"/>
      <c r="F31" s="36"/>
      <c r="G31" s="18"/>
      <c r="H31" s="43"/>
      <c r="I31" s="18"/>
    </row>
    <row r="32" spans="1:9" ht="19.5" customHeight="1">
      <c r="A32" s="18"/>
      <c r="B32" s="16"/>
      <c r="C32" s="16"/>
      <c r="D32" s="18"/>
      <c r="E32" s="16"/>
      <c r="F32" s="36"/>
      <c r="G32" s="18"/>
      <c r="H32" s="43"/>
      <c r="I32" s="18"/>
    </row>
    <row r="33" spans="1:9" ht="19.5" customHeight="1">
      <c r="A33" s="18"/>
      <c r="B33" s="16"/>
      <c r="C33" s="16"/>
      <c r="D33" s="18"/>
      <c r="E33" s="16"/>
      <c r="F33" s="36"/>
      <c r="G33" s="18"/>
      <c r="H33" s="43"/>
      <c r="I33" s="18"/>
    </row>
    <row r="34" spans="1:9" ht="19.5" customHeight="1">
      <c r="A34" s="18"/>
      <c r="B34" s="16"/>
      <c r="C34" s="16"/>
      <c r="D34" s="18"/>
      <c r="E34" s="16"/>
      <c r="F34" s="36"/>
      <c r="G34" s="18"/>
      <c r="H34" s="43"/>
      <c r="I34" s="18"/>
    </row>
    <row r="35" spans="1:9" ht="19.5" customHeight="1">
      <c r="A35" s="18"/>
      <c r="B35" s="16"/>
      <c r="C35" s="16"/>
      <c r="D35" s="18"/>
      <c r="E35" s="16"/>
      <c r="F35" s="36"/>
      <c r="G35" s="18"/>
      <c r="H35" s="43"/>
      <c r="I35" s="18"/>
    </row>
    <row r="36" spans="1:9" ht="19.5" customHeight="1">
      <c r="A36" s="18"/>
      <c r="B36" s="16"/>
      <c r="C36" s="16"/>
      <c r="D36" s="18"/>
      <c r="E36" s="16"/>
      <c r="F36" s="36"/>
      <c r="G36" s="18"/>
      <c r="H36" s="43"/>
      <c r="I36" s="18"/>
    </row>
  </sheetData>
  <phoneticPr fontId="2" type="noConversion"/>
  <conditionalFormatting sqref="E1:E1048576">
    <cfRule type="cellIs" dxfId="5" priority="1" operator="greaterThan">
      <formula>TODAY()</formula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1AE6A-15B6-47B6-8A3F-3206E1ED0C8B}">
          <x14:formula1>
            <xm:f>PatientenVisiten!$1:$1</xm:f>
          </x14:formula1>
          <xm:sqref>F1:F1048576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90DA-E27C-4C09-8C4C-1AC846CBE6B6}">
  <dimension ref="A1:J42"/>
  <sheetViews>
    <sheetView workbookViewId="0">
      <selection activeCell="I13" sqref="I13"/>
    </sheetView>
  </sheetViews>
  <sheetFormatPr baseColWidth="10" defaultColWidth="18.140625" defaultRowHeight="19.5" customHeight="1"/>
  <cols>
    <col min="1" max="1" width="18.140625" style="17" customWidth="1"/>
    <col min="2" max="3" width="18.140625" style="5"/>
    <col min="4" max="4" width="18.140625" style="17"/>
    <col min="5" max="5" width="18.140625" style="5"/>
    <col min="6" max="6" width="24.85546875" style="38" customWidth="1"/>
    <col min="7" max="7" width="24.85546875" style="17" customWidth="1"/>
    <col min="8" max="8" width="24.85546875" style="59" customWidth="1"/>
    <col min="9" max="9" width="24.85546875" style="17" customWidth="1"/>
    <col min="10" max="10" width="68.42578125" style="37" customWidth="1"/>
    <col min="11" max="16384" width="18.140625" style="5"/>
  </cols>
  <sheetData>
    <row r="1" spans="1:10" s="16" customFormat="1" ht="19.5" customHeight="1">
      <c r="A1" s="18" t="s">
        <v>5</v>
      </c>
      <c r="B1" s="16" t="s">
        <v>6</v>
      </c>
      <c r="C1" s="16" t="s">
        <v>21</v>
      </c>
      <c r="D1" s="18" t="s">
        <v>7</v>
      </c>
      <c r="E1" s="16" t="s">
        <v>8</v>
      </c>
      <c r="F1" s="36" t="s">
        <v>9</v>
      </c>
      <c r="G1" s="18" t="s">
        <v>48</v>
      </c>
      <c r="H1" s="58" t="s">
        <v>49</v>
      </c>
      <c r="I1" s="18" t="s">
        <v>50</v>
      </c>
      <c r="J1" s="37" t="s">
        <v>15</v>
      </c>
    </row>
    <row r="2" spans="1:10" s="37" customFormat="1" ht="19.5" customHeight="1">
      <c r="A2" s="18">
        <v>46229</v>
      </c>
      <c r="B2" s="16">
        <v>230017</v>
      </c>
      <c r="C2" s="16">
        <v>100095</v>
      </c>
      <c r="D2" s="18">
        <v>46753</v>
      </c>
      <c r="E2" s="18">
        <v>46230</v>
      </c>
      <c r="F2" s="36" t="s">
        <v>102</v>
      </c>
      <c r="G2" s="18">
        <v>46264</v>
      </c>
      <c r="H2" s="58">
        <v>1</v>
      </c>
      <c r="I2" s="18"/>
    </row>
    <row r="3" spans="1:10" s="37" customFormat="1" ht="19.5" customHeight="1">
      <c r="A3" s="18">
        <v>46229</v>
      </c>
      <c r="B3" s="16">
        <v>230017</v>
      </c>
      <c r="C3" s="16">
        <v>100096</v>
      </c>
      <c r="D3" s="18">
        <v>46753</v>
      </c>
      <c r="E3" s="18">
        <v>46230</v>
      </c>
      <c r="F3" s="36" t="s">
        <v>104</v>
      </c>
      <c r="G3" s="18">
        <v>46264</v>
      </c>
      <c r="H3" s="58">
        <v>0</v>
      </c>
      <c r="I3" s="18"/>
    </row>
    <row r="4" spans="1:10" s="37" customFormat="1" ht="19.5" customHeight="1">
      <c r="A4" s="18">
        <v>46229</v>
      </c>
      <c r="B4" s="16">
        <v>230017</v>
      </c>
      <c r="C4" s="16">
        <v>100097</v>
      </c>
      <c r="D4" s="18">
        <v>46753</v>
      </c>
      <c r="E4" s="18">
        <v>46232</v>
      </c>
      <c r="F4" s="36" t="s">
        <v>103</v>
      </c>
      <c r="G4" s="18">
        <v>46295</v>
      </c>
      <c r="H4" s="58">
        <v>2</v>
      </c>
      <c r="I4" s="18"/>
    </row>
    <row r="5" spans="1:10" s="37" customFormat="1" ht="19.5" customHeight="1">
      <c r="A5" s="18">
        <v>46229</v>
      </c>
      <c r="B5" s="16">
        <v>230017</v>
      </c>
      <c r="C5" s="16">
        <v>100098</v>
      </c>
      <c r="D5" s="18">
        <v>46753</v>
      </c>
      <c r="E5" s="18">
        <v>46232</v>
      </c>
      <c r="F5" s="36" t="s">
        <v>103</v>
      </c>
      <c r="G5" s="18">
        <v>46295</v>
      </c>
      <c r="H5" s="58">
        <v>2</v>
      </c>
      <c r="I5" s="18"/>
    </row>
    <row r="6" spans="1:10" s="37" customFormat="1" ht="19.5" customHeight="1">
      <c r="A6" s="18"/>
      <c r="B6" s="16"/>
      <c r="C6" s="16"/>
      <c r="D6" s="18"/>
      <c r="E6" s="18"/>
      <c r="F6" s="36"/>
      <c r="G6" s="18"/>
      <c r="H6" s="58"/>
      <c r="I6" s="18"/>
    </row>
    <row r="7" spans="1:10" s="37" customFormat="1" ht="19.5" customHeight="1">
      <c r="A7" s="18"/>
      <c r="B7" s="16"/>
      <c r="C7" s="16"/>
      <c r="D7" s="18"/>
      <c r="E7" s="18"/>
      <c r="F7" s="36"/>
      <c r="G7" s="18"/>
      <c r="H7" s="58"/>
      <c r="I7" s="18"/>
    </row>
    <row r="8" spans="1:10" s="37" customFormat="1" ht="19.5" customHeight="1">
      <c r="A8" s="18"/>
      <c r="B8" s="16"/>
      <c r="C8" s="16"/>
      <c r="D8" s="18"/>
      <c r="E8" s="18"/>
      <c r="F8" s="36"/>
      <c r="G8" s="18"/>
      <c r="H8" s="58"/>
      <c r="I8" s="18"/>
    </row>
    <row r="9" spans="1:10" s="37" customFormat="1" ht="19.5" customHeight="1">
      <c r="A9" s="18"/>
      <c r="B9" s="16"/>
      <c r="C9" s="16"/>
      <c r="D9" s="18"/>
      <c r="E9" s="18"/>
      <c r="F9" s="36"/>
      <c r="G9" s="18"/>
      <c r="H9" s="58"/>
      <c r="I9" s="18"/>
    </row>
    <row r="10" spans="1:10" s="37" customFormat="1" ht="19.5" customHeight="1">
      <c r="A10" s="18"/>
      <c r="B10" s="16"/>
      <c r="C10" s="16"/>
      <c r="D10" s="18"/>
      <c r="E10" s="18"/>
      <c r="F10" s="36"/>
      <c r="G10" s="18"/>
      <c r="H10" s="58"/>
      <c r="I10" s="18"/>
    </row>
    <row r="11" spans="1:10" s="37" customFormat="1" ht="19.5" customHeight="1">
      <c r="A11" s="18"/>
      <c r="B11" s="16"/>
      <c r="C11" s="16"/>
      <c r="D11" s="18"/>
      <c r="E11" s="18"/>
      <c r="F11" s="36"/>
      <c r="G11" s="18"/>
      <c r="H11" s="58"/>
      <c r="I11" s="18"/>
    </row>
    <row r="12" spans="1:10" s="37" customFormat="1" ht="19.5" customHeight="1">
      <c r="A12" s="18"/>
      <c r="B12" s="16"/>
      <c r="C12" s="16"/>
      <c r="D12" s="18"/>
      <c r="E12" s="18"/>
      <c r="F12" s="36"/>
      <c r="G12" s="18"/>
      <c r="H12" s="58"/>
      <c r="I12" s="18"/>
    </row>
    <row r="13" spans="1:10" s="37" customFormat="1" ht="19.5" customHeight="1">
      <c r="A13" s="18"/>
      <c r="B13" s="16"/>
      <c r="C13" s="16"/>
      <c r="D13" s="18"/>
      <c r="E13" s="18"/>
      <c r="F13" s="36"/>
      <c r="G13" s="18"/>
      <c r="H13" s="58"/>
      <c r="I13" s="18"/>
    </row>
    <row r="14" spans="1:10" s="37" customFormat="1" ht="19.5" customHeight="1">
      <c r="A14" s="18"/>
      <c r="B14" s="16"/>
      <c r="C14" s="16"/>
      <c r="D14" s="18"/>
      <c r="E14" s="18"/>
      <c r="F14" s="36"/>
      <c r="G14" s="18"/>
      <c r="H14" s="58"/>
      <c r="I14" s="18"/>
    </row>
    <row r="15" spans="1:10" s="37" customFormat="1" ht="19.5" customHeight="1">
      <c r="A15" s="18"/>
      <c r="B15" s="16"/>
      <c r="C15" s="16"/>
      <c r="D15" s="18"/>
      <c r="E15" s="18"/>
      <c r="F15" s="36"/>
      <c r="G15" s="18"/>
      <c r="H15" s="58"/>
      <c r="I15" s="18"/>
    </row>
    <row r="16" spans="1:10" s="37" customFormat="1" ht="19.5" customHeight="1">
      <c r="A16" s="18"/>
      <c r="B16" s="16"/>
      <c r="C16" s="16"/>
      <c r="D16" s="18"/>
      <c r="E16" s="18"/>
      <c r="F16" s="36"/>
      <c r="G16" s="18"/>
      <c r="H16" s="58"/>
      <c r="I16" s="18"/>
    </row>
    <row r="17" spans="1:9" s="37" customFormat="1" ht="19.5" customHeight="1">
      <c r="A17" s="18"/>
      <c r="B17" s="16"/>
      <c r="C17" s="16"/>
      <c r="D17" s="18"/>
      <c r="E17" s="18"/>
      <c r="F17" s="36"/>
      <c r="G17" s="18"/>
      <c r="H17" s="58"/>
      <c r="I17" s="18"/>
    </row>
    <row r="18" spans="1:9" s="37" customFormat="1" ht="19.5" customHeight="1">
      <c r="A18" s="18"/>
      <c r="B18" s="16"/>
      <c r="C18" s="16"/>
      <c r="D18" s="18"/>
      <c r="E18" s="18"/>
      <c r="F18" s="36"/>
      <c r="G18" s="18"/>
      <c r="H18" s="58"/>
      <c r="I18" s="18"/>
    </row>
    <row r="19" spans="1:9" s="37" customFormat="1" ht="19.5" customHeight="1">
      <c r="A19" s="18"/>
      <c r="B19" s="16"/>
      <c r="C19" s="16"/>
      <c r="D19" s="18"/>
      <c r="E19" s="18"/>
      <c r="F19" s="36"/>
      <c r="G19" s="18"/>
      <c r="H19" s="58"/>
      <c r="I19" s="18"/>
    </row>
    <row r="20" spans="1:9" s="37" customFormat="1" ht="19.5" customHeight="1">
      <c r="A20" s="18"/>
      <c r="B20" s="16"/>
      <c r="C20" s="16"/>
      <c r="D20" s="18"/>
      <c r="E20" s="18"/>
      <c r="F20" s="36"/>
      <c r="G20" s="18"/>
      <c r="H20" s="58"/>
      <c r="I20" s="18"/>
    </row>
    <row r="21" spans="1:9" s="37" customFormat="1" ht="19.5" customHeight="1">
      <c r="A21" s="18"/>
      <c r="B21" s="16"/>
      <c r="C21" s="16"/>
      <c r="D21" s="18"/>
      <c r="E21" s="18"/>
      <c r="F21" s="36"/>
      <c r="G21" s="18"/>
      <c r="H21" s="58"/>
      <c r="I21" s="18"/>
    </row>
    <row r="22" spans="1:9" s="37" customFormat="1" ht="19.5" customHeight="1">
      <c r="A22" s="18"/>
      <c r="B22" s="16"/>
      <c r="C22" s="16"/>
      <c r="D22" s="18"/>
      <c r="E22" s="18"/>
      <c r="F22" s="36"/>
      <c r="G22" s="18"/>
      <c r="H22" s="58"/>
      <c r="I22" s="18"/>
    </row>
    <row r="23" spans="1:9" s="37" customFormat="1" ht="19.5" customHeight="1">
      <c r="A23" s="18"/>
      <c r="B23" s="16"/>
      <c r="C23" s="16"/>
      <c r="D23" s="18"/>
      <c r="E23" s="18"/>
      <c r="F23" s="36"/>
      <c r="G23" s="18"/>
      <c r="H23" s="58"/>
      <c r="I23" s="18"/>
    </row>
    <row r="24" spans="1:9" s="37" customFormat="1" ht="19.5" customHeight="1">
      <c r="A24" s="18"/>
      <c r="B24" s="16"/>
      <c r="C24" s="16"/>
      <c r="D24" s="18"/>
      <c r="E24" s="18"/>
      <c r="F24" s="36"/>
      <c r="G24" s="18"/>
      <c r="H24" s="58"/>
      <c r="I24" s="18"/>
    </row>
    <row r="25" spans="1:9" s="37" customFormat="1" ht="19.5" customHeight="1">
      <c r="A25" s="18"/>
      <c r="B25" s="16"/>
      <c r="C25" s="16"/>
      <c r="D25" s="18"/>
      <c r="E25" s="18"/>
      <c r="F25" s="36"/>
      <c r="G25" s="18"/>
      <c r="H25" s="58"/>
      <c r="I25" s="18"/>
    </row>
    <row r="26" spans="1:9" s="37" customFormat="1" ht="19.5" customHeight="1">
      <c r="A26" s="18"/>
      <c r="B26" s="16"/>
      <c r="C26" s="16"/>
      <c r="D26" s="18"/>
      <c r="E26" s="18"/>
      <c r="F26" s="36"/>
      <c r="G26" s="18"/>
      <c r="H26" s="58"/>
      <c r="I26" s="18"/>
    </row>
    <row r="27" spans="1:9" s="37" customFormat="1" ht="19.5" customHeight="1">
      <c r="A27" s="18"/>
      <c r="B27" s="16"/>
      <c r="C27" s="16"/>
      <c r="D27" s="18"/>
      <c r="E27" s="18"/>
      <c r="F27" s="36"/>
      <c r="G27" s="18"/>
      <c r="H27" s="58"/>
      <c r="I27" s="18"/>
    </row>
    <row r="28" spans="1:9" s="37" customFormat="1" ht="19.5" customHeight="1">
      <c r="A28" s="18"/>
      <c r="B28" s="16"/>
      <c r="C28" s="16"/>
      <c r="D28" s="18"/>
      <c r="E28" s="18"/>
      <c r="F28" s="36"/>
      <c r="G28" s="18"/>
      <c r="H28" s="58"/>
      <c r="I28" s="18"/>
    </row>
    <row r="29" spans="1:9" s="37" customFormat="1" ht="19.5" customHeight="1">
      <c r="A29" s="18"/>
      <c r="B29" s="16"/>
      <c r="C29" s="16"/>
      <c r="D29" s="18"/>
      <c r="E29" s="18"/>
      <c r="F29" s="36"/>
      <c r="G29" s="18"/>
      <c r="H29" s="58"/>
      <c r="I29" s="18"/>
    </row>
    <row r="30" spans="1:9" s="37" customFormat="1" ht="19.5" customHeight="1">
      <c r="A30" s="18"/>
      <c r="B30" s="16"/>
      <c r="C30" s="16"/>
      <c r="D30" s="18"/>
      <c r="E30" s="18"/>
      <c r="F30" s="36"/>
      <c r="G30" s="18"/>
      <c r="H30" s="58"/>
      <c r="I30" s="18"/>
    </row>
    <row r="31" spans="1:9" s="37" customFormat="1" ht="19.5" customHeight="1">
      <c r="A31" s="18"/>
      <c r="B31" s="16"/>
      <c r="C31" s="16"/>
      <c r="D31" s="18"/>
      <c r="E31" s="18"/>
      <c r="F31" s="36"/>
      <c r="G31" s="18"/>
      <c r="H31" s="58"/>
      <c r="I31" s="18"/>
    </row>
    <row r="32" spans="1:9" s="37" customFormat="1" ht="19.5" customHeight="1">
      <c r="A32" s="18"/>
      <c r="B32" s="16"/>
      <c r="C32" s="16"/>
      <c r="D32" s="18"/>
      <c r="E32" s="16"/>
      <c r="F32" s="36"/>
      <c r="G32" s="18"/>
      <c r="H32" s="58"/>
      <c r="I32" s="18"/>
    </row>
    <row r="33" spans="1:9" s="37" customFormat="1" ht="19.5" customHeight="1">
      <c r="A33" s="18"/>
      <c r="B33" s="16"/>
      <c r="C33" s="16"/>
      <c r="D33" s="18"/>
      <c r="E33" s="16"/>
      <c r="F33" s="36"/>
      <c r="G33" s="18"/>
      <c r="H33" s="58"/>
      <c r="I33" s="18"/>
    </row>
    <row r="34" spans="1:9" s="37" customFormat="1" ht="19.5" customHeight="1">
      <c r="A34" s="18"/>
      <c r="B34" s="16"/>
      <c r="C34" s="16"/>
      <c r="D34" s="18"/>
      <c r="E34" s="16"/>
      <c r="F34" s="36"/>
      <c r="G34" s="18"/>
      <c r="H34" s="58"/>
      <c r="I34" s="18"/>
    </row>
    <row r="35" spans="1:9" s="37" customFormat="1" ht="19.5" customHeight="1">
      <c r="A35" s="18"/>
      <c r="B35" s="16"/>
      <c r="C35" s="16"/>
      <c r="D35" s="18"/>
      <c r="E35" s="16"/>
      <c r="F35" s="36"/>
      <c r="G35" s="18"/>
      <c r="H35" s="58"/>
      <c r="I35" s="18"/>
    </row>
    <row r="36" spans="1:9" s="37" customFormat="1" ht="19.5" customHeight="1">
      <c r="A36" s="18"/>
      <c r="B36" s="16"/>
      <c r="C36" s="16"/>
      <c r="D36" s="18"/>
      <c r="E36" s="16"/>
      <c r="F36" s="36"/>
      <c r="G36" s="18"/>
      <c r="H36" s="58"/>
      <c r="I36" s="18"/>
    </row>
    <row r="37" spans="1:9" s="37" customFormat="1" ht="19.5" customHeight="1">
      <c r="A37" s="18"/>
      <c r="B37" s="16"/>
      <c r="C37" s="16"/>
      <c r="D37" s="18"/>
      <c r="E37" s="16"/>
      <c r="F37" s="36"/>
      <c r="G37" s="18"/>
      <c r="H37" s="58"/>
      <c r="I37" s="18"/>
    </row>
    <row r="38" spans="1:9" s="37" customFormat="1" ht="19.5" customHeight="1">
      <c r="A38" s="18"/>
      <c r="B38" s="16"/>
      <c r="C38" s="16"/>
      <c r="D38" s="18"/>
      <c r="E38" s="16"/>
      <c r="F38" s="36"/>
      <c r="G38" s="18"/>
      <c r="H38" s="58"/>
      <c r="I38" s="18"/>
    </row>
    <row r="39" spans="1:9" s="37" customFormat="1" ht="19.5" customHeight="1">
      <c r="A39" s="18"/>
      <c r="B39" s="16"/>
      <c r="C39" s="16"/>
      <c r="D39" s="18"/>
      <c r="E39" s="16"/>
      <c r="F39" s="36"/>
      <c r="G39" s="18"/>
      <c r="H39" s="58"/>
      <c r="I39" s="18"/>
    </row>
    <row r="40" spans="1:9" s="37" customFormat="1" ht="19.5" customHeight="1">
      <c r="A40" s="18"/>
      <c r="B40" s="16"/>
      <c r="C40" s="16"/>
      <c r="D40" s="18"/>
      <c r="E40" s="16"/>
      <c r="F40" s="36"/>
      <c r="G40" s="18"/>
      <c r="H40" s="58"/>
      <c r="I40" s="18"/>
    </row>
    <row r="41" spans="1:9" s="37" customFormat="1" ht="19.5" customHeight="1">
      <c r="A41" s="18"/>
      <c r="B41" s="16"/>
      <c r="C41" s="16"/>
      <c r="D41" s="18"/>
      <c r="E41" s="16"/>
      <c r="F41" s="36"/>
      <c r="G41" s="18"/>
      <c r="H41" s="58"/>
      <c r="I41" s="18"/>
    </row>
    <row r="42" spans="1:9" s="37" customFormat="1" ht="19.5" customHeight="1">
      <c r="A42" s="18"/>
      <c r="B42" s="16"/>
      <c r="C42" s="16"/>
      <c r="D42" s="18"/>
      <c r="E42" s="16"/>
      <c r="F42" s="36"/>
      <c r="G42" s="18"/>
      <c r="H42" s="58"/>
      <c r="I42" s="18"/>
    </row>
  </sheetData>
  <conditionalFormatting sqref="E1:E1048576">
    <cfRule type="cellIs" dxfId="4" priority="1" operator="greaterThan">
      <formula>TODAY()</formula>
    </cfRule>
  </conditionalFormatting>
  <pageMargins left="0.7" right="0.7" top="0.78740157499999996" bottom="0.78740157499999996" header="0.3" footer="0.3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1624D0-B8BE-4EA2-8B23-7D707B043E30}">
          <x14:formula1>
            <xm:f>PatientenVisiten!$1:$1</xm:f>
          </x14:formula1>
          <xm:sqref>F1:F1048576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98AB-5FB8-44E5-B9FD-B5852E0FA04D}">
  <dimension ref="A1:BO38"/>
  <sheetViews>
    <sheetView tabSelected="1" workbookViewId="0">
      <selection activeCell="H7" sqref="H7"/>
    </sheetView>
  </sheetViews>
  <sheetFormatPr baseColWidth="10" defaultRowHeight="22.5" customHeight="1"/>
  <cols>
    <col min="1" max="2" width="13.85546875" style="16" customWidth="1"/>
    <col min="3" max="3" width="16.140625" style="48" customWidth="1"/>
    <col min="4" max="4" width="23.42578125" style="16" customWidth="1"/>
    <col min="5" max="5" width="26.7109375" style="36" customWidth="1"/>
    <col min="6" max="6" width="26.7109375" style="18" customWidth="1"/>
    <col min="7" max="7" width="26.7109375" style="36" customWidth="1"/>
    <col min="8" max="57" width="26.7109375" style="18" customWidth="1"/>
    <col min="58" max="59" width="11.42578125" style="18"/>
    <col min="60" max="16384" width="11.42578125" style="16"/>
  </cols>
  <sheetData>
    <row r="1" spans="1:67" ht="32.25" customHeight="1">
      <c r="A1" s="45" t="s">
        <v>18</v>
      </c>
      <c r="B1" s="45" t="s">
        <v>19</v>
      </c>
      <c r="C1" s="47" t="s">
        <v>82</v>
      </c>
      <c r="D1" s="45" t="s">
        <v>83</v>
      </c>
      <c r="E1" s="46" t="s">
        <v>102</v>
      </c>
      <c r="F1" s="46" t="s">
        <v>103</v>
      </c>
      <c r="G1" s="46" t="s">
        <v>104</v>
      </c>
      <c r="H1" s="46" t="s">
        <v>105</v>
      </c>
    </row>
    <row r="2" spans="1:67" ht="22.5" customHeight="1">
      <c r="A2" s="16">
        <v>1</v>
      </c>
      <c r="B2" s="16">
        <v>1</v>
      </c>
      <c r="C2" s="48" t="str">
        <f>"C"&amp;Tabelle4[[#This Row],[Zyklus]]&amp;" D"&amp;Tabelle4[[#This Row],[Tag]]</f>
        <v>C1 D1</v>
      </c>
      <c r="D2" s="16" t="s">
        <v>99</v>
      </c>
      <c r="E2" s="18">
        <v>46023</v>
      </c>
      <c r="F2" s="18">
        <v>46073</v>
      </c>
      <c r="G2" s="18">
        <v>46166</v>
      </c>
      <c r="BH2" s="18"/>
      <c r="BI2" s="18"/>
      <c r="BJ2" s="18"/>
      <c r="BK2" s="18"/>
      <c r="BL2" s="18"/>
      <c r="BM2" s="18"/>
      <c r="BN2" s="18"/>
      <c r="BO2" s="18"/>
    </row>
    <row r="3" spans="1:67" ht="22.5" customHeight="1">
      <c r="A3" s="16">
        <v>1</v>
      </c>
      <c r="B3" s="16">
        <v>7</v>
      </c>
      <c r="C3" s="48" t="str">
        <f>"C"&amp;Tabelle4[[#This Row],[Zyklus]]&amp;" D"&amp;Tabelle4[[#This Row],[Tag]]</f>
        <v>C1 D7</v>
      </c>
      <c r="E3" s="18">
        <f>E2+Tabelle4[[#This Row],[Tag]]</f>
        <v>46030</v>
      </c>
      <c r="F3" s="18">
        <f>F2+Tabelle4[[#This Row],[Tag]]</f>
        <v>46080</v>
      </c>
      <c r="G3" s="18">
        <f>G2+Tabelle4[[#This Row],[Tag]]</f>
        <v>46173</v>
      </c>
      <c r="BH3" s="18"/>
      <c r="BI3" s="18"/>
      <c r="BJ3" s="18"/>
      <c r="BK3" s="18"/>
      <c r="BL3" s="18"/>
      <c r="BM3" s="18"/>
      <c r="BN3" s="18"/>
      <c r="BO3" s="18"/>
    </row>
    <row r="4" spans="1:67" ht="22.5" customHeight="1">
      <c r="A4" s="16">
        <v>1</v>
      </c>
      <c r="B4" s="16">
        <v>14</v>
      </c>
      <c r="C4" s="48" t="str">
        <f>"C"&amp;Tabelle4[[#This Row],[Zyklus]]&amp;" D"&amp;Tabelle4[[#This Row],[Tag]]</f>
        <v>C1 D14</v>
      </c>
      <c r="D4" s="16" t="s">
        <v>100</v>
      </c>
      <c r="E4" s="18">
        <f>E3+Tabelle4[[#This Row],[Tag]]</f>
        <v>46044</v>
      </c>
      <c r="F4" s="18">
        <f>F3+Tabelle4[[#This Row],[Tag]]</f>
        <v>46094</v>
      </c>
      <c r="G4" s="18">
        <f>G3+Tabelle4[[#This Row],[Tag]]</f>
        <v>46187</v>
      </c>
      <c r="BH4" s="18"/>
      <c r="BI4" s="18"/>
      <c r="BJ4" s="18"/>
      <c r="BK4" s="18"/>
      <c r="BL4" s="18"/>
      <c r="BM4" s="18"/>
      <c r="BN4" s="18"/>
      <c r="BO4" s="18"/>
    </row>
    <row r="5" spans="1:67" ht="22.5" customHeight="1">
      <c r="A5" s="16">
        <v>1</v>
      </c>
      <c r="B5" s="16">
        <v>28</v>
      </c>
      <c r="C5" s="48" t="str">
        <f>"C"&amp;Tabelle4[[#This Row],[Zyklus]]&amp;" D"&amp;Tabelle4[[#This Row],[Tag]]</f>
        <v>C1 D28</v>
      </c>
      <c r="D5" s="16" t="s">
        <v>101</v>
      </c>
      <c r="E5" s="18">
        <f>E4+Tabelle4[[#This Row],[Tag]]</f>
        <v>46072</v>
      </c>
      <c r="F5" s="18">
        <f>F4+Tabelle4[[#This Row],[Tag]]</f>
        <v>46122</v>
      </c>
      <c r="G5" s="18">
        <f>G4+Tabelle4[[#This Row],[Tag]]</f>
        <v>46215</v>
      </c>
      <c r="BH5" s="18"/>
      <c r="BI5" s="18"/>
      <c r="BJ5" s="18"/>
      <c r="BK5" s="18"/>
      <c r="BL5" s="18"/>
      <c r="BM5" s="18"/>
      <c r="BN5" s="18"/>
      <c r="BO5" s="18"/>
    </row>
    <row r="6" spans="1:67" ht="22.5" customHeight="1">
      <c r="A6" s="16">
        <v>2</v>
      </c>
      <c r="B6" s="16">
        <v>1</v>
      </c>
      <c r="C6" s="48" t="str">
        <f>"C"&amp;Tabelle4[[#This Row],[Zyklus]]&amp;" D"&amp;Tabelle4[[#This Row],[Tag]]</f>
        <v>C2 D1</v>
      </c>
      <c r="D6" s="16" t="s">
        <v>99</v>
      </c>
      <c r="E6" s="18">
        <f>E5+Tabelle4[[#This Row],[Tag]]</f>
        <v>46073</v>
      </c>
      <c r="F6" s="18">
        <f>F5+Tabelle4[[#This Row],[Tag]]</f>
        <v>46123</v>
      </c>
      <c r="G6" s="18">
        <f>G5+Tabelle4[[#This Row],[Tag]]</f>
        <v>46216</v>
      </c>
      <c r="BH6" s="18"/>
      <c r="BI6" s="18"/>
      <c r="BJ6" s="18"/>
      <c r="BK6" s="18"/>
      <c r="BL6" s="18"/>
      <c r="BM6" s="18"/>
      <c r="BN6" s="18"/>
      <c r="BO6" s="18"/>
    </row>
    <row r="7" spans="1:67" ht="22.5" customHeight="1">
      <c r="A7" s="16">
        <v>2</v>
      </c>
      <c r="B7" s="16">
        <v>7</v>
      </c>
      <c r="C7" s="48" t="str">
        <f>"C"&amp;Tabelle4[[#This Row],[Zyklus]]&amp;" D"&amp;Tabelle4[[#This Row],[Tag]]</f>
        <v>C2 D7</v>
      </c>
      <c r="E7" s="18">
        <f>E6+Tabelle4[[#This Row],[Tag]]</f>
        <v>46080</v>
      </c>
      <c r="F7" s="18">
        <f>F6+Tabelle4[[#This Row],[Tag]]</f>
        <v>46130</v>
      </c>
      <c r="G7" s="18">
        <f>G6+Tabelle4[[#This Row],[Tag]]</f>
        <v>46223</v>
      </c>
      <c r="BH7" s="18"/>
      <c r="BI7" s="18"/>
      <c r="BJ7" s="18"/>
      <c r="BK7" s="18"/>
      <c r="BL7" s="18"/>
      <c r="BM7" s="18"/>
      <c r="BN7" s="18"/>
      <c r="BO7" s="18"/>
    </row>
    <row r="8" spans="1:67" ht="22.5" customHeight="1">
      <c r="A8" s="16">
        <v>2</v>
      </c>
      <c r="B8" s="16">
        <v>14</v>
      </c>
      <c r="C8" s="48" t="str">
        <f>"C"&amp;Tabelle4[[#This Row],[Zyklus]]&amp;" D"&amp;Tabelle4[[#This Row],[Tag]]</f>
        <v>C2 D14</v>
      </c>
      <c r="D8" s="16" t="s">
        <v>100</v>
      </c>
      <c r="E8" s="18">
        <f>E7+Tabelle4[[#This Row],[Tag]]</f>
        <v>46094</v>
      </c>
      <c r="F8" s="18">
        <f>F7+Tabelle4[[#This Row],[Tag]]</f>
        <v>46144</v>
      </c>
      <c r="G8" s="18">
        <f>G7+Tabelle4[[#This Row],[Tag]]</f>
        <v>46237</v>
      </c>
      <c r="BH8" s="18"/>
      <c r="BI8" s="18"/>
      <c r="BJ8" s="18"/>
      <c r="BK8" s="18"/>
      <c r="BL8" s="18"/>
      <c r="BM8" s="18"/>
      <c r="BN8" s="18"/>
      <c r="BO8" s="18"/>
    </row>
    <row r="9" spans="1:67" ht="22.5" customHeight="1">
      <c r="A9" s="16">
        <v>2</v>
      </c>
      <c r="B9" s="16">
        <v>28</v>
      </c>
      <c r="C9" s="48" t="str">
        <f>"C"&amp;Tabelle4[[#This Row],[Zyklus]]&amp;" D"&amp;Tabelle4[[#This Row],[Tag]]</f>
        <v>C2 D28</v>
      </c>
      <c r="D9" s="16" t="s">
        <v>101</v>
      </c>
      <c r="E9" s="18">
        <f>E8+Tabelle4[[#This Row],[Tag]]</f>
        <v>46122</v>
      </c>
      <c r="F9" s="18">
        <f>F8+Tabelle4[[#This Row],[Tag]]</f>
        <v>46172</v>
      </c>
      <c r="G9" s="18">
        <f>G8+Tabelle4[[#This Row],[Tag]]</f>
        <v>46265</v>
      </c>
      <c r="BH9" s="18"/>
      <c r="BI9" s="18"/>
      <c r="BJ9" s="18"/>
      <c r="BK9" s="18"/>
      <c r="BL9" s="18"/>
      <c r="BM9" s="18"/>
      <c r="BN9" s="18"/>
      <c r="BO9" s="18"/>
    </row>
    <row r="10" spans="1:67" ht="22.5" customHeight="1">
      <c r="A10" s="16">
        <v>3</v>
      </c>
      <c r="B10" s="16">
        <v>1</v>
      </c>
      <c r="C10" s="48" t="str">
        <f>"C"&amp;Tabelle4[[#This Row],[Zyklus]]&amp;" D"&amp;Tabelle4[[#This Row],[Tag]]</f>
        <v>C3 D1</v>
      </c>
      <c r="D10" s="16" t="s">
        <v>99</v>
      </c>
      <c r="E10" s="18">
        <f>E9+Tabelle4[[#This Row],[Tag]]</f>
        <v>46123</v>
      </c>
      <c r="F10" s="18">
        <f>F9+Tabelle4[[#This Row],[Tag]]</f>
        <v>46173</v>
      </c>
      <c r="G10" s="18">
        <f>G9+Tabelle4[[#This Row],[Tag]]</f>
        <v>46266</v>
      </c>
      <c r="BH10" s="18"/>
      <c r="BI10" s="18"/>
      <c r="BJ10" s="18"/>
      <c r="BK10" s="18"/>
      <c r="BL10" s="18"/>
      <c r="BM10" s="18"/>
      <c r="BN10" s="18"/>
      <c r="BO10" s="18"/>
    </row>
    <row r="11" spans="1:67" ht="22.5" customHeight="1">
      <c r="A11" s="16">
        <v>3</v>
      </c>
      <c r="B11" s="16">
        <v>7</v>
      </c>
      <c r="C11" s="48" t="str">
        <f>"C"&amp;Tabelle4[[#This Row],[Zyklus]]&amp;" D"&amp;Tabelle4[[#This Row],[Tag]]</f>
        <v>C3 D7</v>
      </c>
      <c r="E11" s="18">
        <f>E10+Tabelle4[[#This Row],[Tag]]</f>
        <v>46130</v>
      </c>
      <c r="F11" s="18">
        <f>F10+Tabelle4[[#This Row],[Tag]]</f>
        <v>46180</v>
      </c>
      <c r="G11" s="18">
        <f>G10+Tabelle4[[#This Row],[Tag]]</f>
        <v>46273</v>
      </c>
      <c r="BH11" s="18"/>
      <c r="BI11" s="18"/>
      <c r="BJ11" s="18"/>
      <c r="BK11" s="18"/>
      <c r="BL11" s="18"/>
      <c r="BM11" s="18"/>
      <c r="BN11" s="18"/>
      <c r="BO11" s="18"/>
    </row>
    <row r="12" spans="1:67" ht="22.5" customHeight="1">
      <c r="A12" s="16">
        <v>3</v>
      </c>
      <c r="B12" s="16">
        <v>14</v>
      </c>
      <c r="C12" s="48" t="str">
        <f>"C"&amp;Tabelle4[[#This Row],[Zyklus]]&amp;" D"&amp;Tabelle4[[#This Row],[Tag]]</f>
        <v>C3 D14</v>
      </c>
      <c r="D12" s="16" t="s">
        <v>100</v>
      </c>
      <c r="E12" s="18">
        <f>E11+Tabelle4[[#This Row],[Tag]]</f>
        <v>46144</v>
      </c>
      <c r="F12" s="18">
        <f>F11+Tabelle4[[#This Row],[Tag]]</f>
        <v>46194</v>
      </c>
      <c r="G12" s="18">
        <f>G11+Tabelle4[[#This Row],[Tag]]</f>
        <v>46287</v>
      </c>
      <c r="BH12" s="18"/>
      <c r="BI12" s="18"/>
      <c r="BJ12" s="18"/>
      <c r="BK12" s="18"/>
      <c r="BL12" s="18"/>
      <c r="BM12" s="18"/>
      <c r="BN12" s="18"/>
      <c r="BO12" s="18"/>
    </row>
    <row r="13" spans="1:67" ht="22.5" customHeight="1">
      <c r="A13" s="16">
        <v>3</v>
      </c>
      <c r="B13" s="16">
        <v>28</v>
      </c>
      <c r="C13" s="48" t="str">
        <f>"C"&amp;Tabelle4[[#This Row],[Zyklus]]&amp;" D"&amp;Tabelle4[[#This Row],[Tag]]</f>
        <v>C3 D28</v>
      </c>
      <c r="D13" s="16" t="s">
        <v>101</v>
      </c>
      <c r="E13" s="18">
        <f>E12+Tabelle4[[#This Row],[Tag]]</f>
        <v>46172</v>
      </c>
      <c r="F13" s="18">
        <f>F12+Tabelle4[[#This Row],[Tag]]</f>
        <v>46222</v>
      </c>
      <c r="G13" s="18">
        <f>G12+Tabelle4[[#This Row],[Tag]]</f>
        <v>46315</v>
      </c>
      <c r="BH13" s="18"/>
      <c r="BI13" s="18"/>
      <c r="BJ13" s="18"/>
      <c r="BK13" s="18"/>
      <c r="BL13" s="18"/>
      <c r="BM13" s="18"/>
      <c r="BN13" s="18"/>
      <c r="BO13" s="18"/>
    </row>
    <row r="14" spans="1:67" ht="22.5" customHeight="1">
      <c r="A14" s="16">
        <v>4</v>
      </c>
      <c r="B14" s="16">
        <v>1</v>
      </c>
      <c r="C14" s="48" t="str">
        <f>"C"&amp;Tabelle4[[#This Row],[Zyklus]]&amp;" D"&amp;Tabelle4[[#This Row],[Tag]]</f>
        <v>C4 D1</v>
      </c>
      <c r="D14" s="16" t="s">
        <v>99</v>
      </c>
      <c r="E14" s="18">
        <f>E13+Tabelle4[[#This Row],[Tag]]</f>
        <v>46173</v>
      </c>
      <c r="F14" s="18">
        <f>F13+Tabelle4[[#This Row],[Tag]]</f>
        <v>46223</v>
      </c>
      <c r="G14" s="18">
        <f>G13+Tabelle4[[#This Row],[Tag]]</f>
        <v>46316</v>
      </c>
      <c r="BH14" s="18"/>
      <c r="BI14" s="18"/>
      <c r="BJ14" s="18"/>
      <c r="BK14" s="18"/>
      <c r="BL14" s="18"/>
      <c r="BM14" s="18"/>
      <c r="BN14" s="18"/>
      <c r="BO14" s="18"/>
    </row>
    <row r="15" spans="1:67" ht="22.5" customHeight="1">
      <c r="A15" s="16">
        <v>4</v>
      </c>
      <c r="B15" s="16">
        <v>7</v>
      </c>
      <c r="C15" s="48" t="str">
        <f>"C"&amp;Tabelle4[[#This Row],[Zyklus]]&amp;" D"&amp;Tabelle4[[#This Row],[Tag]]</f>
        <v>C4 D7</v>
      </c>
      <c r="E15" s="18">
        <f>E14+Tabelle4[[#This Row],[Tag]]</f>
        <v>46180</v>
      </c>
      <c r="F15" s="18">
        <f>F14+Tabelle4[[#This Row],[Tag]]</f>
        <v>46230</v>
      </c>
      <c r="G15" s="18">
        <f>G14+Tabelle4[[#This Row],[Tag]]</f>
        <v>46323</v>
      </c>
      <c r="BH15" s="18"/>
      <c r="BI15" s="18"/>
      <c r="BJ15" s="18"/>
      <c r="BK15" s="18"/>
      <c r="BL15" s="18"/>
      <c r="BM15" s="18"/>
      <c r="BN15" s="18"/>
      <c r="BO15" s="18"/>
    </row>
    <row r="16" spans="1:67" ht="22.5" customHeight="1">
      <c r="A16" s="16">
        <v>4</v>
      </c>
      <c r="B16" s="16">
        <v>14</v>
      </c>
      <c r="C16" s="48" t="str">
        <f>"C"&amp;Tabelle4[[#This Row],[Zyklus]]&amp;" D"&amp;Tabelle4[[#This Row],[Tag]]</f>
        <v>C4 D14</v>
      </c>
      <c r="D16" s="16" t="s">
        <v>100</v>
      </c>
      <c r="E16" s="18">
        <f>E15+Tabelle4[[#This Row],[Tag]]</f>
        <v>46194</v>
      </c>
      <c r="F16" s="18">
        <f>F15+Tabelle4[[#This Row],[Tag]]</f>
        <v>46244</v>
      </c>
      <c r="G16" s="18">
        <f>G15+Tabelle4[[#This Row],[Tag]]</f>
        <v>46337</v>
      </c>
      <c r="BH16" s="18"/>
      <c r="BI16" s="18"/>
      <c r="BJ16" s="18"/>
      <c r="BK16" s="18"/>
      <c r="BL16" s="18"/>
      <c r="BM16" s="18"/>
      <c r="BN16" s="18"/>
      <c r="BO16" s="18"/>
    </row>
    <row r="17" spans="1:67" ht="22.5" customHeight="1">
      <c r="A17" s="16">
        <v>4</v>
      </c>
      <c r="B17" s="16">
        <v>28</v>
      </c>
      <c r="C17" s="48" t="str">
        <f>"C"&amp;Tabelle4[[#This Row],[Zyklus]]&amp;" D"&amp;Tabelle4[[#This Row],[Tag]]</f>
        <v>C4 D28</v>
      </c>
      <c r="D17" s="16" t="s">
        <v>101</v>
      </c>
      <c r="E17" s="18">
        <f>E16+Tabelle4[[#This Row],[Tag]]</f>
        <v>46222</v>
      </c>
      <c r="F17" s="18">
        <f>F16+Tabelle4[[#This Row],[Tag]]</f>
        <v>46272</v>
      </c>
      <c r="G17" s="18">
        <f>G16+Tabelle4[[#This Row],[Tag]]</f>
        <v>46365</v>
      </c>
      <c r="BH17" s="18"/>
      <c r="BI17" s="18"/>
      <c r="BJ17" s="18"/>
      <c r="BK17" s="18"/>
      <c r="BL17" s="18"/>
      <c r="BM17" s="18"/>
      <c r="BN17" s="18"/>
      <c r="BO17" s="18"/>
    </row>
    <row r="18" spans="1:67" ht="22.5" customHeight="1">
      <c r="A18" s="16">
        <v>5</v>
      </c>
      <c r="B18" s="16">
        <v>1</v>
      </c>
      <c r="C18" s="48" t="str">
        <f>"C"&amp;Tabelle4[[#This Row],[Zyklus]]&amp;" D"&amp;Tabelle4[[#This Row],[Tag]]</f>
        <v>C5 D1</v>
      </c>
      <c r="D18" s="16" t="s">
        <v>99</v>
      </c>
      <c r="E18" s="18">
        <f>E17+Tabelle4[[#This Row],[Tag]]</f>
        <v>46223</v>
      </c>
      <c r="F18" s="18">
        <f>F17+Tabelle4[[#This Row],[Tag]]</f>
        <v>46273</v>
      </c>
      <c r="G18" s="18">
        <f>G17+Tabelle4[[#This Row],[Tag]]</f>
        <v>46366</v>
      </c>
      <c r="BH18" s="18"/>
      <c r="BI18" s="18"/>
      <c r="BJ18" s="18"/>
      <c r="BK18" s="18"/>
      <c r="BL18" s="18"/>
      <c r="BM18" s="18"/>
      <c r="BN18" s="18"/>
      <c r="BO18" s="18"/>
    </row>
    <row r="19" spans="1:67" ht="22.5" customHeight="1">
      <c r="A19" s="16">
        <v>5</v>
      </c>
      <c r="B19" s="16">
        <v>7</v>
      </c>
      <c r="C19" s="48" t="str">
        <f>"C"&amp;Tabelle4[[#This Row],[Zyklus]]&amp;" D"&amp;Tabelle4[[#This Row],[Tag]]</f>
        <v>C5 D7</v>
      </c>
      <c r="E19" s="18">
        <f>E18+Tabelle4[[#This Row],[Tag]]</f>
        <v>46230</v>
      </c>
      <c r="F19" s="18">
        <f>F18+Tabelle4[[#This Row],[Tag]]</f>
        <v>46280</v>
      </c>
      <c r="G19" s="18">
        <f>G18+Tabelle4[[#This Row],[Tag]]</f>
        <v>46373</v>
      </c>
      <c r="BH19" s="18"/>
      <c r="BI19" s="18"/>
      <c r="BJ19" s="18"/>
      <c r="BK19" s="18"/>
      <c r="BL19" s="18"/>
      <c r="BM19" s="18"/>
      <c r="BN19" s="18"/>
      <c r="BO19" s="18"/>
    </row>
    <row r="20" spans="1:67" ht="22.5" customHeight="1">
      <c r="A20" s="16">
        <v>5</v>
      </c>
      <c r="B20" s="16">
        <v>14</v>
      </c>
      <c r="C20" s="48" t="str">
        <f>"C"&amp;Tabelle4[[#This Row],[Zyklus]]&amp;" D"&amp;Tabelle4[[#This Row],[Tag]]</f>
        <v>C5 D14</v>
      </c>
      <c r="D20" s="16" t="s">
        <v>100</v>
      </c>
      <c r="E20" s="18">
        <f>E19+Tabelle4[[#This Row],[Tag]]</f>
        <v>46244</v>
      </c>
      <c r="F20" s="18">
        <f>F19+Tabelle4[[#This Row],[Tag]]</f>
        <v>46294</v>
      </c>
      <c r="G20" s="18">
        <f>G19+Tabelle4[[#This Row],[Tag]]</f>
        <v>46387</v>
      </c>
      <c r="BH20" s="18"/>
      <c r="BI20" s="18"/>
      <c r="BJ20" s="18"/>
      <c r="BK20" s="18"/>
      <c r="BL20" s="18"/>
      <c r="BM20" s="18"/>
      <c r="BN20" s="18"/>
      <c r="BO20" s="18"/>
    </row>
    <row r="21" spans="1:67" ht="22.5" customHeight="1">
      <c r="A21" s="16">
        <v>5</v>
      </c>
      <c r="B21" s="16">
        <v>28</v>
      </c>
      <c r="C21" s="48" t="str">
        <f>"C"&amp;Tabelle4[[#This Row],[Zyklus]]&amp;" D"&amp;Tabelle4[[#This Row],[Tag]]</f>
        <v>C5 D28</v>
      </c>
      <c r="D21" s="16" t="s">
        <v>101</v>
      </c>
      <c r="E21" s="18">
        <f>E20+Tabelle4[[#This Row],[Tag]]</f>
        <v>46272</v>
      </c>
      <c r="F21" s="18">
        <f>F20+Tabelle4[[#This Row],[Tag]]</f>
        <v>46322</v>
      </c>
      <c r="G21" s="18">
        <f>G20+Tabelle4[[#This Row],[Tag]]</f>
        <v>46415</v>
      </c>
      <c r="BH21" s="18"/>
      <c r="BI21" s="18"/>
      <c r="BJ21" s="18"/>
      <c r="BK21" s="18"/>
      <c r="BL21" s="18"/>
      <c r="BM21" s="18"/>
      <c r="BN21" s="18"/>
      <c r="BO21" s="18"/>
    </row>
    <row r="22" spans="1:67" ht="22.5" customHeight="1">
      <c r="A22" s="16">
        <v>6</v>
      </c>
      <c r="B22" s="16">
        <v>1</v>
      </c>
      <c r="C22" s="48" t="str">
        <f>"C"&amp;Tabelle4[[#This Row],[Zyklus]]&amp;" D"&amp;Tabelle4[[#This Row],[Tag]]</f>
        <v>C6 D1</v>
      </c>
      <c r="D22" s="16" t="s">
        <v>99</v>
      </c>
      <c r="E22" s="18">
        <f>E21+Tabelle4[[#This Row],[Tag]]</f>
        <v>46273</v>
      </c>
      <c r="F22" s="18">
        <f>F21+Tabelle4[[#This Row],[Tag]]</f>
        <v>46323</v>
      </c>
      <c r="G22" s="18">
        <f>G21+Tabelle4[[#This Row],[Tag]]</f>
        <v>46416</v>
      </c>
      <c r="BH22" s="18"/>
      <c r="BI22" s="18"/>
      <c r="BJ22" s="18"/>
      <c r="BK22" s="18"/>
      <c r="BL22" s="18"/>
      <c r="BM22" s="18"/>
      <c r="BN22" s="18"/>
      <c r="BO22" s="18"/>
    </row>
    <row r="23" spans="1:67" ht="22.5" customHeight="1">
      <c r="A23" s="16">
        <v>6</v>
      </c>
      <c r="B23" s="16">
        <v>7</v>
      </c>
      <c r="C23" s="48" t="str">
        <f>"C"&amp;Tabelle4[[#This Row],[Zyklus]]&amp;" D"&amp;Tabelle4[[#This Row],[Tag]]</f>
        <v>C6 D7</v>
      </c>
      <c r="E23" s="18">
        <f>E22+Tabelle4[[#This Row],[Tag]]</f>
        <v>46280</v>
      </c>
      <c r="F23" s="18">
        <f>F22+Tabelle4[[#This Row],[Tag]]</f>
        <v>46330</v>
      </c>
      <c r="G23" s="18">
        <f>G22+Tabelle4[[#This Row],[Tag]]</f>
        <v>46423</v>
      </c>
      <c r="BH23" s="18"/>
      <c r="BI23" s="18"/>
      <c r="BJ23" s="18"/>
      <c r="BK23" s="18"/>
      <c r="BL23" s="18"/>
      <c r="BM23" s="18"/>
      <c r="BN23" s="18"/>
      <c r="BO23" s="18"/>
    </row>
    <row r="24" spans="1:67" ht="22.5" customHeight="1">
      <c r="A24" s="16">
        <v>6</v>
      </c>
      <c r="B24" s="16">
        <v>14</v>
      </c>
      <c r="C24" s="48" t="str">
        <f>"C"&amp;Tabelle4[[#This Row],[Zyklus]]&amp;" D"&amp;Tabelle4[[#This Row],[Tag]]</f>
        <v>C6 D14</v>
      </c>
      <c r="D24" s="16" t="s">
        <v>100</v>
      </c>
      <c r="E24" s="18">
        <f>E23+Tabelle4[[#This Row],[Tag]]</f>
        <v>46294</v>
      </c>
      <c r="F24" s="18">
        <f>F23+Tabelle4[[#This Row],[Tag]]</f>
        <v>46344</v>
      </c>
      <c r="G24" s="18">
        <f>G23+Tabelle4[[#This Row],[Tag]]</f>
        <v>46437</v>
      </c>
      <c r="BH24" s="18"/>
      <c r="BI24" s="18"/>
      <c r="BJ24" s="18"/>
      <c r="BK24" s="18"/>
      <c r="BL24" s="18"/>
      <c r="BM24" s="18"/>
      <c r="BN24" s="18"/>
      <c r="BO24" s="18"/>
    </row>
    <row r="25" spans="1:67" ht="22.5" customHeight="1">
      <c r="A25" s="16">
        <v>6</v>
      </c>
      <c r="B25" s="16">
        <v>28</v>
      </c>
      <c r="C25" s="48" t="str">
        <f>"C"&amp;Tabelle4[[#This Row],[Zyklus]]&amp;" D"&amp;Tabelle4[[#This Row],[Tag]]</f>
        <v>C6 D28</v>
      </c>
      <c r="D25" s="16" t="s">
        <v>101</v>
      </c>
      <c r="E25" s="18">
        <f>E24+Tabelle4[[#This Row],[Tag]]</f>
        <v>46322</v>
      </c>
      <c r="F25" s="18">
        <f>F24+Tabelle4[[#This Row],[Tag]]</f>
        <v>46372</v>
      </c>
      <c r="G25" s="18">
        <f>G24+Tabelle4[[#This Row],[Tag]]</f>
        <v>46465</v>
      </c>
      <c r="BH25" s="18"/>
      <c r="BI25" s="18"/>
      <c r="BJ25" s="18"/>
      <c r="BK25" s="18"/>
      <c r="BL25" s="18"/>
      <c r="BM25" s="18"/>
      <c r="BN25" s="18"/>
      <c r="BO25" s="18"/>
    </row>
    <row r="26" spans="1:67" ht="22.5" customHeight="1">
      <c r="A26" s="16">
        <v>7</v>
      </c>
      <c r="B26" s="16">
        <v>1</v>
      </c>
      <c r="C26" s="48" t="str">
        <f>"C"&amp;Tabelle4[[#This Row],[Zyklus]]&amp;" D"&amp;Tabelle4[[#This Row],[Tag]]</f>
        <v>C7 D1</v>
      </c>
      <c r="D26" s="16" t="s">
        <v>99</v>
      </c>
      <c r="E26" s="18">
        <f>E25+Tabelle4[[#This Row],[Tag]]</f>
        <v>46323</v>
      </c>
      <c r="F26" s="18">
        <f>F25+Tabelle4[[#This Row],[Tag]]</f>
        <v>46373</v>
      </c>
      <c r="G26" s="18">
        <f>G25+Tabelle4[[#This Row],[Tag]]</f>
        <v>46466</v>
      </c>
      <c r="BH26" s="18"/>
      <c r="BI26" s="18"/>
      <c r="BJ26" s="18"/>
      <c r="BK26" s="18"/>
      <c r="BL26" s="18"/>
      <c r="BM26" s="18"/>
      <c r="BN26" s="18"/>
      <c r="BO26" s="18"/>
    </row>
    <row r="27" spans="1:67" ht="22.5" customHeight="1">
      <c r="A27" s="16">
        <v>7</v>
      </c>
      <c r="B27" s="16">
        <v>7</v>
      </c>
      <c r="C27" s="48" t="str">
        <f>"C"&amp;Tabelle4[[#This Row],[Zyklus]]&amp;" D"&amp;Tabelle4[[#This Row],[Tag]]</f>
        <v>C7 D7</v>
      </c>
      <c r="E27" s="18">
        <f>E26+Tabelle4[[#This Row],[Tag]]</f>
        <v>46330</v>
      </c>
      <c r="F27" s="18">
        <f>F26+Tabelle4[[#This Row],[Tag]]</f>
        <v>46380</v>
      </c>
      <c r="G27" s="18">
        <f>G26+Tabelle4[[#This Row],[Tag]]</f>
        <v>46473</v>
      </c>
      <c r="BH27" s="18"/>
      <c r="BI27" s="18"/>
      <c r="BJ27" s="18"/>
      <c r="BK27" s="18"/>
      <c r="BL27" s="18"/>
      <c r="BM27" s="18"/>
      <c r="BN27" s="18"/>
      <c r="BO27" s="18"/>
    </row>
    <row r="28" spans="1:67" ht="22.5" customHeight="1">
      <c r="A28" s="16">
        <v>7</v>
      </c>
      <c r="B28" s="16">
        <v>14</v>
      </c>
      <c r="C28" s="48" t="str">
        <f>"C"&amp;Tabelle4[[#This Row],[Zyklus]]&amp;" D"&amp;Tabelle4[[#This Row],[Tag]]</f>
        <v>C7 D14</v>
      </c>
      <c r="D28" s="16" t="s">
        <v>100</v>
      </c>
      <c r="E28" s="18">
        <f>E27+Tabelle4[[#This Row],[Tag]]</f>
        <v>46344</v>
      </c>
      <c r="F28" s="18">
        <f>F27+Tabelle4[[#This Row],[Tag]]</f>
        <v>46394</v>
      </c>
      <c r="G28" s="18">
        <f>G27+Tabelle4[[#This Row],[Tag]]</f>
        <v>46487</v>
      </c>
      <c r="BH28" s="18"/>
      <c r="BI28" s="18"/>
      <c r="BJ28" s="18"/>
      <c r="BK28" s="18"/>
      <c r="BL28" s="18"/>
      <c r="BM28" s="18"/>
      <c r="BN28" s="18"/>
      <c r="BO28" s="18"/>
    </row>
    <row r="29" spans="1:67" ht="22.5" customHeight="1">
      <c r="A29" s="16">
        <v>7</v>
      </c>
      <c r="B29" s="16">
        <v>28</v>
      </c>
      <c r="C29" s="48" t="str">
        <f>"C"&amp;Tabelle4[[#This Row],[Zyklus]]&amp;" D"&amp;Tabelle4[[#This Row],[Tag]]</f>
        <v>C7 D28</v>
      </c>
      <c r="D29" s="16" t="s">
        <v>101</v>
      </c>
      <c r="E29" s="18">
        <f>E28+Tabelle4[[#This Row],[Tag]]</f>
        <v>46372</v>
      </c>
      <c r="F29" s="18">
        <f>F28+Tabelle4[[#This Row],[Tag]]</f>
        <v>46422</v>
      </c>
      <c r="G29" s="18">
        <f>G28+Tabelle4[[#This Row],[Tag]]</f>
        <v>46515</v>
      </c>
      <c r="BH29" s="18"/>
      <c r="BI29" s="18"/>
      <c r="BJ29" s="18"/>
      <c r="BK29" s="18"/>
      <c r="BL29" s="18"/>
      <c r="BM29" s="18"/>
      <c r="BN29" s="18"/>
      <c r="BO29" s="18"/>
    </row>
    <row r="30" spans="1:67" ht="22.5" customHeight="1">
      <c r="A30" s="16">
        <v>8</v>
      </c>
      <c r="B30" s="16">
        <v>1</v>
      </c>
      <c r="C30" s="48" t="str">
        <f>"C"&amp;Tabelle4[[#This Row],[Zyklus]]&amp;" D"&amp;Tabelle4[[#This Row],[Tag]]</f>
        <v>C8 D1</v>
      </c>
      <c r="D30" s="16" t="s">
        <v>99</v>
      </c>
      <c r="E30" s="18">
        <f>E29+Tabelle4[[#This Row],[Tag]]</f>
        <v>46373</v>
      </c>
      <c r="F30" s="18">
        <f>F29+Tabelle4[[#This Row],[Tag]]</f>
        <v>46423</v>
      </c>
      <c r="G30" s="18">
        <f>G29+Tabelle4[[#This Row],[Tag]]</f>
        <v>46516</v>
      </c>
      <c r="BH30" s="18"/>
      <c r="BI30" s="18"/>
      <c r="BJ30" s="18"/>
      <c r="BK30" s="18"/>
      <c r="BL30" s="18"/>
      <c r="BM30" s="18"/>
      <c r="BN30" s="18"/>
      <c r="BO30" s="18"/>
    </row>
    <row r="31" spans="1:67" ht="22.5" customHeight="1">
      <c r="A31" s="16">
        <v>8</v>
      </c>
      <c r="B31" s="16">
        <v>7</v>
      </c>
      <c r="C31" s="48" t="str">
        <f>"C"&amp;Tabelle4[[#This Row],[Zyklus]]&amp;" D"&amp;Tabelle4[[#This Row],[Tag]]</f>
        <v>C8 D7</v>
      </c>
      <c r="E31" s="18">
        <f>E30+Tabelle4[[#This Row],[Tag]]</f>
        <v>46380</v>
      </c>
      <c r="F31" s="18">
        <f>F30+Tabelle4[[#This Row],[Tag]]</f>
        <v>46430</v>
      </c>
      <c r="G31" s="18">
        <f>G30+Tabelle4[[#This Row],[Tag]]</f>
        <v>46523</v>
      </c>
      <c r="BH31" s="18"/>
      <c r="BI31" s="18"/>
      <c r="BJ31" s="18"/>
      <c r="BK31" s="18"/>
      <c r="BL31" s="18"/>
      <c r="BM31" s="18"/>
      <c r="BN31" s="18"/>
      <c r="BO31" s="18"/>
    </row>
    <row r="32" spans="1:67" ht="22.5" customHeight="1">
      <c r="A32" s="16">
        <v>8</v>
      </c>
      <c r="B32" s="16">
        <v>14</v>
      </c>
      <c r="C32" s="48" t="str">
        <f>"C"&amp;Tabelle4[[#This Row],[Zyklus]]&amp;" D"&amp;Tabelle4[[#This Row],[Tag]]</f>
        <v>C8 D14</v>
      </c>
      <c r="D32" s="16" t="s">
        <v>100</v>
      </c>
      <c r="E32" s="18">
        <f>E31+Tabelle4[[#This Row],[Tag]]</f>
        <v>46394</v>
      </c>
      <c r="F32" s="18">
        <f>F31+Tabelle4[[#This Row],[Tag]]</f>
        <v>46444</v>
      </c>
      <c r="G32" s="18">
        <f>G31+Tabelle4[[#This Row],[Tag]]</f>
        <v>46537</v>
      </c>
      <c r="BH32" s="18"/>
      <c r="BI32" s="18"/>
      <c r="BJ32" s="18"/>
      <c r="BK32" s="18"/>
      <c r="BL32" s="18"/>
      <c r="BM32" s="18"/>
      <c r="BN32" s="18"/>
      <c r="BO32" s="18"/>
    </row>
    <row r="33" spans="1:67" ht="22.5" customHeight="1">
      <c r="A33" s="16">
        <v>8</v>
      </c>
      <c r="B33" s="16">
        <v>28</v>
      </c>
      <c r="C33" s="48" t="str">
        <f>"C"&amp;Tabelle4[[#This Row],[Zyklus]]&amp;" D"&amp;Tabelle4[[#This Row],[Tag]]</f>
        <v>C8 D28</v>
      </c>
      <c r="D33" s="16" t="s">
        <v>101</v>
      </c>
      <c r="E33" s="18">
        <f>E32+Tabelle4[[#This Row],[Tag]]</f>
        <v>46422</v>
      </c>
      <c r="F33" s="18">
        <f>F32+Tabelle4[[#This Row],[Tag]]</f>
        <v>46472</v>
      </c>
      <c r="G33" s="18">
        <f>G32+Tabelle4[[#This Row],[Tag]]</f>
        <v>46565</v>
      </c>
      <c r="BH33" s="18"/>
      <c r="BI33" s="18"/>
      <c r="BJ33" s="18"/>
      <c r="BK33" s="18"/>
      <c r="BL33" s="18"/>
      <c r="BM33" s="18"/>
      <c r="BN33" s="18"/>
      <c r="BO33" s="18"/>
    </row>
    <row r="34" spans="1:67" ht="22.5" customHeight="1">
      <c r="A34" s="16">
        <v>9</v>
      </c>
      <c r="B34" s="16">
        <v>1</v>
      </c>
      <c r="C34" s="48" t="str">
        <f>"C"&amp;Tabelle4[[#This Row],[Zyklus]]&amp;" D"&amp;Tabelle4[[#This Row],[Tag]]</f>
        <v>C9 D1</v>
      </c>
      <c r="D34" s="16" t="s">
        <v>99</v>
      </c>
      <c r="E34" s="18"/>
      <c r="G34" s="18"/>
      <c r="BH34" s="18"/>
      <c r="BI34" s="18"/>
      <c r="BJ34" s="18"/>
      <c r="BK34" s="18"/>
      <c r="BL34" s="18"/>
      <c r="BM34" s="18"/>
      <c r="BN34" s="18"/>
      <c r="BO34" s="18"/>
    </row>
    <row r="35" spans="1:67" ht="22.5" customHeight="1">
      <c r="A35" s="16">
        <v>9</v>
      </c>
      <c r="B35" s="16">
        <v>7</v>
      </c>
      <c r="C35" s="48" t="str">
        <f>"C"&amp;Tabelle4[[#This Row],[Zyklus]]&amp;" D"&amp;Tabelle4[[#This Row],[Tag]]</f>
        <v>C9 D7</v>
      </c>
      <c r="E35" s="18"/>
      <c r="G35" s="18"/>
      <c r="BH35" s="18"/>
      <c r="BI35" s="18"/>
      <c r="BJ35" s="18"/>
      <c r="BK35" s="18"/>
      <c r="BL35" s="18"/>
      <c r="BM35" s="18"/>
      <c r="BN35" s="18"/>
      <c r="BO35" s="18"/>
    </row>
    <row r="36" spans="1:67" ht="22.5" customHeight="1">
      <c r="A36" s="16">
        <v>9</v>
      </c>
      <c r="B36" s="16">
        <v>14</v>
      </c>
      <c r="C36" s="48" t="str">
        <f>"C"&amp;Tabelle4[[#This Row],[Zyklus]]&amp;" D"&amp;Tabelle4[[#This Row],[Tag]]</f>
        <v>C9 D14</v>
      </c>
      <c r="D36" s="16" t="s">
        <v>100</v>
      </c>
      <c r="E36" s="18"/>
      <c r="G36" s="18"/>
      <c r="BH36" s="18"/>
      <c r="BI36" s="18"/>
      <c r="BJ36" s="18"/>
      <c r="BK36" s="18"/>
      <c r="BL36" s="18"/>
      <c r="BM36" s="18"/>
      <c r="BN36" s="18"/>
      <c r="BO36" s="18"/>
    </row>
    <row r="37" spans="1:67" ht="22.5" customHeight="1">
      <c r="A37" s="16">
        <v>9</v>
      </c>
      <c r="B37" s="16">
        <v>28</v>
      </c>
      <c r="C37" s="48" t="str">
        <f>"C"&amp;Tabelle4[[#This Row],[Zyklus]]&amp;" D"&amp;Tabelle4[[#This Row],[Tag]]</f>
        <v>C9 D28</v>
      </c>
      <c r="D37" s="16" t="s">
        <v>101</v>
      </c>
      <c r="E37" s="18"/>
      <c r="G37" s="18"/>
      <c r="BH37" s="18"/>
      <c r="BI37" s="18"/>
      <c r="BJ37" s="18"/>
      <c r="BK37" s="18"/>
      <c r="BL37" s="18"/>
      <c r="BM37" s="18"/>
      <c r="BN37" s="18"/>
      <c r="BO37" s="18"/>
    </row>
    <row r="38" spans="1:67" ht="22.5" customHeight="1">
      <c r="A38" s="16">
        <v>10</v>
      </c>
      <c r="B38" s="16">
        <v>1</v>
      </c>
      <c r="C38" s="48" t="s">
        <v>86</v>
      </c>
      <c r="D38" s="16" t="s">
        <v>99</v>
      </c>
      <c r="E38" s="18"/>
      <c r="G38" s="18"/>
      <c r="H38" s="18">
        <v>46273</v>
      </c>
      <c r="BH38" s="18"/>
      <c r="BI38" s="18"/>
      <c r="BJ38" s="18"/>
      <c r="BK38" s="18"/>
      <c r="BL38" s="18"/>
      <c r="BM38" s="18"/>
      <c r="BN38" s="18"/>
      <c r="BO38" s="18"/>
    </row>
  </sheetData>
  <phoneticPr fontId="2" type="noConversion"/>
  <conditionalFormatting sqref="E2:Y40">
    <cfRule type="cellIs" dxfId="3" priority="1" operator="greaterThan">
      <formula>TODAY()</formula>
    </cfRule>
  </conditionalFormatting>
  <pageMargins left="0.7" right="0.7" top="0.78740157499999996" bottom="0.78740157499999996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Studienprofil</vt:lpstr>
      <vt:lpstr>Meldebestand</vt:lpstr>
      <vt:lpstr>Bestellübersicht IMP1</vt:lpstr>
      <vt:lpstr>Bestellübersicht IMP2</vt:lpstr>
      <vt:lpstr>DrugInventory IMP1</vt:lpstr>
      <vt:lpstr>DrugInventory IMP2</vt:lpstr>
      <vt:lpstr>PatientenVisiten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Büttner, Sophia</dc:creator>
  <cp:lastModifiedBy>Sophia Büttner</cp:lastModifiedBy>
  <dcterms:created xsi:type="dcterms:W3CDTF">2026-06-01T07:03:20Z</dcterms:created>
  <dcterms:modified xsi:type="dcterms:W3CDTF">2026-09-06T15:44:20Z</dcterms:modified>
</cp:coreProperties>
</file>